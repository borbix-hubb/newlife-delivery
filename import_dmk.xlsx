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borbix/Desktop/DMK/2026/"/>
    </mc:Choice>
  </mc:AlternateContent>
  <xr:revisionPtr revIDLastSave="0" documentId="13_ncr:1_{ABAC9A00-EE24-CC44-A168-BAD50AEFD72B}" xr6:coauthVersionLast="47" xr6:coauthVersionMax="47" xr10:uidLastSave="{00000000-0000-0000-0000-000000000000}"/>
  <bookViews>
    <workbookView xWindow="25000" yWindow="600" windowWidth="26200" windowHeight="26620" activeTab="5" xr2:uid="{00000000-000D-0000-FFFF-FFFF00000000}"/>
  </bookViews>
  <sheets>
    <sheet name="2 มี.ค." sheetId="1" r:id="rId1"/>
    <sheet name="4 มี.ค." sheetId="3" r:id="rId2"/>
    <sheet name="5 มี.ค." sheetId="4" r:id="rId3"/>
    <sheet name="6 มี.ค." sheetId="5" r:id="rId4"/>
    <sheet name="9 มี.ค." sheetId="6" r:id="rId5"/>
    <sheet name="10 มี.ค." sheetId="7" r:id="rId6"/>
    <sheet name="11 มี.ค." sheetId="8" r:id="rId7"/>
    <sheet name="12 มี.ค." sheetId="9" r:id="rId8"/>
    <sheet name="13 มี.ค." sheetId="10" r:id="rId9"/>
    <sheet name="16 มี.ค." sheetId="11" r:id="rId10"/>
    <sheet name="17 มี.ค." sheetId="12" r:id="rId11"/>
    <sheet name="18 มี.ค." sheetId="13" r:id="rId12"/>
    <sheet name="19 มี.ค." sheetId="14" r:id="rId13"/>
    <sheet name="20 มี.ค." sheetId="15" r:id="rId14"/>
    <sheet name="23 มี.ค." sheetId="16" r:id="rId15"/>
    <sheet name="24 มี.ค." sheetId="17" r:id="rId16"/>
    <sheet name="25 มี.ค." sheetId="18" r:id="rId17"/>
    <sheet name="26 มี.ค." sheetId="19" r:id="rId18"/>
    <sheet name="27 มี.ค." sheetId="20" r:id="rId19"/>
    <sheet name="30 มี.ค." sheetId="21" r:id="rId20"/>
    <sheet name="31 มี.ค." sheetId="22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" i="6" l="1"/>
  <c r="A66" i="6"/>
  <c r="A35" i="6"/>
  <c r="A4" i="6"/>
  <c r="A21" i="6"/>
  <c r="A45" i="6"/>
  <c r="A22" i="6"/>
  <c r="A56" i="6"/>
  <c r="A36" i="6"/>
  <c r="A42" i="6"/>
  <c r="A37" i="6"/>
  <c r="A65" i="6"/>
  <c r="A46" i="6"/>
  <c r="A38" i="6"/>
  <c r="A39" i="6"/>
  <c r="A67" i="6"/>
  <c r="A10" i="6"/>
  <c r="A40" i="6"/>
  <c r="D49" i="3"/>
  <c r="D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D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D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D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D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D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D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D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D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D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D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D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D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D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D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D34" i="7"/>
  <c r="A13" i="7"/>
  <c r="A9" i="7"/>
  <c r="A8" i="7"/>
  <c r="A31" i="7"/>
  <c r="A20" i="7"/>
  <c r="A27" i="7"/>
  <c r="A30" i="7"/>
  <c r="A23" i="7"/>
  <c r="A6" i="7"/>
  <c r="A18" i="7"/>
  <c r="A32" i="7"/>
  <c r="A5" i="7"/>
  <c r="A26" i="7"/>
  <c r="A12" i="7"/>
  <c r="A19" i="7"/>
  <c r="A7" i="7"/>
  <c r="A29" i="7"/>
  <c r="A22" i="7"/>
  <c r="A4" i="7"/>
  <c r="A33" i="7"/>
  <c r="A28" i="7"/>
  <c r="A16" i="7"/>
  <c r="A14" i="7"/>
  <c r="A21" i="7"/>
  <c r="A25" i="7"/>
  <c r="A17" i="7"/>
  <c r="A11" i="7"/>
  <c r="A24" i="7"/>
  <c r="A10" i="7"/>
  <c r="A15" i="7"/>
  <c r="A55" i="6"/>
  <c r="A23" i="6"/>
  <c r="A44" i="6"/>
  <c r="A9" i="6"/>
  <c r="A64" i="6"/>
  <c r="A20" i="6"/>
  <c r="A19" i="6"/>
  <c r="A47" i="6"/>
  <c r="A34" i="6"/>
  <c r="A54" i="6"/>
  <c r="A59" i="6"/>
  <c r="A62" i="6"/>
  <c r="A61" i="6"/>
  <c r="A33" i="6"/>
  <c r="A32" i="6"/>
  <c r="A70" i="6"/>
  <c r="A53" i="6"/>
  <c r="A18" i="6"/>
  <c r="A60" i="6"/>
  <c r="A69" i="6"/>
  <c r="A52" i="6"/>
  <c r="A51" i="6"/>
  <c r="A31" i="6"/>
  <c r="A8" i="6"/>
  <c r="A30" i="6"/>
  <c r="A50" i="6"/>
  <c r="A29" i="6"/>
  <c r="A58" i="6"/>
  <c r="A57" i="6"/>
  <c r="A43" i="6"/>
  <c r="A63" i="6"/>
  <c r="A68" i="6"/>
  <c r="A41" i="6"/>
  <c r="A49" i="6"/>
  <c r="A48" i="6"/>
  <c r="A28" i="6"/>
  <c r="A27" i="6"/>
  <c r="A17" i="6"/>
  <c r="A7" i="6"/>
  <c r="A6" i="6"/>
  <c r="A16" i="6"/>
  <c r="A15" i="6"/>
  <c r="A14" i="6"/>
  <c r="A13" i="6"/>
  <c r="A12" i="6"/>
  <c r="A5" i="6"/>
  <c r="A11" i="6"/>
  <c r="A25" i="6"/>
  <c r="A26" i="6"/>
  <c r="A24" i="6"/>
  <c r="D36" i="5"/>
  <c r="A9" i="5"/>
  <c r="A26" i="5"/>
  <c r="A24" i="5"/>
  <c r="A30" i="5"/>
  <c r="A11" i="5"/>
  <c r="A34" i="5"/>
  <c r="A23" i="5"/>
  <c r="A14" i="5"/>
  <c r="A19" i="5"/>
  <c r="A29" i="5"/>
  <c r="A35" i="5"/>
  <c r="A17" i="5"/>
  <c r="A33" i="5"/>
  <c r="A13" i="5"/>
  <c r="A18" i="5"/>
  <c r="A32" i="5"/>
  <c r="A10" i="5"/>
  <c r="A25" i="5"/>
  <c r="A31" i="5"/>
  <c r="A6" i="5"/>
  <c r="A16" i="5"/>
  <c r="A5" i="5"/>
  <c r="A22" i="5"/>
  <c r="A15" i="5"/>
  <c r="A28" i="5"/>
  <c r="A8" i="5"/>
  <c r="A21" i="5"/>
  <c r="A20" i="5"/>
  <c r="A7" i="5"/>
  <c r="A12" i="5"/>
  <c r="A27" i="5"/>
  <c r="A4" i="5"/>
  <c r="D17" i="4"/>
  <c r="A9" i="4"/>
  <c r="A4" i="4"/>
  <c r="A8" i="4"/>
  <c r="A15" i="4"/>
  <c r="A5" i="4"/>
  <c r="A14" i="4"/>
  <c r="A16" i="4"/>
  <c r="A13" i="4"/>
  <c r="A11" i="4"/>
  <c r="A12" i="4"/>
  <c r="A7" i="4"/>
  <c r="A6" i="4"/>
  <c r="A10" i="4"/>
  <c r="A44" i="3"/>
  <c r="A42" i="3"/>
  <c r="A41" i="3"/>
  <c r="A28" i="3"/>
  <c r="A12" i="3"/>
  <c r="A40" i="3"/>
  <c r="A27" i="3"/>
  <c r="A6" i="3"/>
  <c r="A47" i="3"/>
  <c r="A22" i="3"/>
  <c r="A5" i="3"/>
  <c r="A30" i="3"/>
  <c r="A46" i="3"/>
  <c r="A33" i="3"/>
  <c r="A11" i="3"/>
  <c r="A19" i="3"/>
  <c r="A18" i="3"/>
  <c r="A26" i="3"/>
  <c r="A4" i="3"/>
  <c r="A25" i="3"/>
  <c r="A10" i="3"/>
  <c r="A39" i="3"/>
  <c r="A23" i="3"/>
  <c r="A9" i="3"/>
  <c r="A8" i="3"/>
  <c r="A43" i="3"/>
  <c r="A21" i="3"/>
  <c r="A17" i="3"/>
  <c r="A38" i="3"/>
  <c r="A14" i="3"/>
  <c r="A24" i="3"/>
  <c r="A45" i="3"/>
  <c r="A7" i="3"/>
  <c r="A37" i="3"/>
  <c r="A32" i="3"/>
  <c r="A29" i="3"/>
  <c r="A13" i="3"/>
  <c r="A16" i="3"/>
  <c r="A20" i="3"/>
  <c r="A15" i="3"/>
  <c r="A48" i="3"/>
  <c r="A36" i="3"/>
  <c r="A31" i="3"/>
  <c r="A35" i="3"/>
  <c r="A34" i="3"/>
  <c r="D31" i="1"/>
  <c r="A16" i="1"/>
  <c r="A27" i="1"/>
  <c r="A26" i="1"/>
  <c r="A25" i="1"/>
  <c r="A10" i="1"/>
  <c r="A24" i="1"/>
  <c r="A30" i="1"/>
  <c r="A9" i="1"/>
  <c r="A7" i="1"/>
  <c r="A18" i="1"/>
  <c r="A15" i="1"/>
  <c r="A29" i="1"/>
  <c r="A20" i="1"/>
  <c r="A28" i="1"/>
  <c r="A23" i="1"/>
  <c r="A8" i="1"/>
  <c r="A5" i="1"/>
  <c r="A22" i="1"/>
  <c r="A13" i="1"/>
  <c r="A4" i="1"/>
  <c r="A12" i="1"/>
  <c r="A14" i="1"/>
  <c r="A11" i="1"/>
  <c r="A21" i="1"/>
  <c r="A19" i="1"/>
  <c r="A6" i="1"/>
  <c r="A17" i="1"/>
</calcChain>
</file>

<file path=xl/sharedStrings.xml><?xml version="1.0" encoding="utf-8"?>
<sst xmlns="http://schemas.openxmlformats.org/spreadsheetml/2006/main" count="830" uniqueCount="442">
  <si>
    <t>ใบแจ้งส่งสินค้า บริษัท ดีเอ็มเค ฟาร์มาซูติคอล จำกัด</t>
  </si>
  <si>
    <t xml:space="preserve">               </t>
  </si>
  <si>
    <t>รายงานการส่งสินค้า วันที่ 2 มี.ค. 69</t>
  </si>
  <si>
    <t>ลำดับที่</t>
  </si>
  <si>
    <t>ชื่อร้านค้า/โรงพยาบาล/คลินิก</t>
  </si>
  <si>
    <t>จังหวัด</t>
  </si>
  <si>
    <t>จำนวน</t>
  </si>
  <si>
    <t>หมายเหตุ</t>
  </si>
  <si>
    <t>รวม</t>
  </si>
  <si>
    <t>รายงานการส่งสินค้า วันที่ 4 มี.ค. 69</t>
  </si>
  <si>
    <t>รายงานการส่งสินค้า วันที่ 5 มี.ค. 69</t>
  </si>
  <si>
    <t>รายงานการส่งสินค้า วันที่ 6 มี.ค. 69</t>
  </si>
  <si>
    <t>รายงานการส่งสินค้า วันที่ 9 มี.ค. 69</t>
  </si>
  <si>
    <t>รายงานการส่งสินค้า วันที่ 10 มี.ค. 69</t>
  </si>
  <si>
    <t>รายงานการส่งสินค้า วันที่ 11 มี.ค. 69</t>
  </si>
  <si>
    <t>รายงานการส่งสินค้า วันที่ 12 มี.ค. 69</t>
  </si>
  <si>
    <t>รายงานการส่งสินค้า วันที่ 13 มี.ค. 69</t>
  </si>
  <si>
    <t>รายงานการส่งสินค้า วันที่ 16 มี.ค. 69</t>
  </si>
  <si>
    <t>รายงานการส่งสินค้า วันที่ 17 มี.ค. 69</t>
  </si>
  <si>
    <t>รายงานการส่งสินค้า วันที่ 18 มี.ค. 69</t>
  </si>
  <si>
    <t>รายงานการส่งสินค้า วันที่ 19 มี.ค. 69</t>
  </si>
  <si>
    <t>รายงานการส่งสินค้า วันที่ 20 มี.ค. 69</t>
  </si>
  <si>
    <t>รายงานการส่งสินค้า วันที่ 23 มี.ค. 69</t>
  </si>
  <si>
    <t>รายงานการส่งสินค้า วันที่ 24 มี.ค. 69</t>
  </si>
  <si>
    <t>รายงานการส่งสินค้า วันที่ 25 มี.ค. 69</t>
  </si>
  <si>
    <t>รายงานการส่งสินค้า วันที่ 26 มี.ค. 69</t>
  </si>
  <si>
    <t>รายงานการส่งสินค้า วันที่ 27 มี.ค. 69</t>
  </si>
  <si>
    <t>รายงานการส่งสินค้า วันที่ 30 มี.ค. 69</t>
  </si>
  <si>
    <t>รายงานการส่งสินค้า วันที่ 31 มี.ค. 69</t>
  </si>
  <si>
    <t>บจก.ออเรนจ์ ฟาร์มาแคร์</t>
  </si>
  <si>
    <t>สระแก้ว</t>
  </si>
  <si>
    <t>IV69/0208</t>
  </si>
  <si>
    <t>บจก.รพ.วิภาราม สาขาแหลมฉบัง</t>
  </si>
  <si>
    <t>ชลบุรี</t>
  </si>
  <si>
    <t>IV69022930,31</t>
  </si>
  <si>
    <t>อารีย์คลินิก</t>
  </si>
  <si>
    <t>สระบุรี</t>
  </si>
  <si>
    <t>IV69022625,2799</t>
  </si>
  <si>
    <t>ร้านสุนันท์เภสัช</t>
  </si>
  <si>
    <t>สิงห์บุรี</t>
  </si>
  <si>
    <t>IV69022827</t>
  </si>
  <si>
    <t>วสันต์ฟาร์มาซี</t>
  </si>
  <si>
    <t>ปราจีนบุรี</t>
  </si>
  <si>
    <t>IV69022828</t>
  </si>
  <si>
    <t>รพ.ระยอง</t>
  </si>
  <si>
    <t>ระยอง</t>
  </si>
  <si>
    <t>IV69022746</t>
  </si>
  <si>
    <t>รพ.เขาย้อย</t>
  </si>
  <si>
    <t>เพชรบุรี</t>
  </si>
  <si>
    <t>IV69022743</t>
  </si>
  <si>
    <t>บจก.บางปะกงเวชชกิจ</t>
  </si>
  <si>
    <t>ฉะเชิงเทรา</t>
  </si>
  <si>
    <t>IV69022798</t>
  </si>
  <si>
    <t>หมอยาตุ๊กตา</t>
  </si>
  <si>
    <t>IV69022857</t>
  </si>
  <si>
    <t>บจก.เหลืองเวชภัณฑ์</t>
  </si>
  <si>
    <t>สุพรรณบุรี</t>
  </si>
  <si>
    <t>IV69022891,69/020273</t>
  </si>
  <si>
    <t>IV69022859</t>
  </si>
  <si>
    <t>เอี่ยมเจริญเภสัช</t>
  </si>
  <si>
    <t>ชัยนาท</t>
  </si>
  <si>
    <t>IV69022855,2945</t>
  </si>
  <si>
    <t>โชคชัยโอสถ</t>
  </si>
  <si>
    <t>IV69022826</t>
  </si>
  <si>
    <t>คลินิกเด็กและผู้ใหญ่เวชกรรม</t>
  </si>
  <si>
    <t>อยุธยา</t>
  </si>
  <si>
    <t>IV69022834</t>
  </si>
  <si>
    <t>บจก.ธาราเวช</t>
  </si>
  <si>
    <t>IV69022899</t>
  </si>
  <si>
    <t>รพ.บางไทร</t>
  </si>
  <si>
    <t>IV69022845</t>
  </si>
  <si>
    <t>รพ.บ้านฉาง</t>
  </si>
  <si>
    <t>IV69022748</t>
  </si>
  <si>
    <t>รพ.สมเด็จพระยุพราชสระแก้ว</t>
  </si>
  <si>
    <t>IV69022659</t>
  </si>
  <si>
    <t>รพ.ชลบุรี</t>
  </si>
  <si>
    <t>IV69022900</t>
  </si>
  <si>
    <t>บจก.อินเตอร์เวชภัณฑ์</t>
  </si>
  <si>
    <t>นครปฐม</t>
  </si>
  <si>
    <t>IV69022985</t>
  </si>
  <si>
    <t>รพ.โพธิ์ทอง</t>
  </si>
  <si>
    <t>อ่างทอง</t>
  </si>
  <si>
    <t>IV69022935</t>
  </si>
  <si>
    <t>รพ.ครบุรี</t>
  </si>
  <si>
    <t>นครราชสีมา</t>
  </si>
  <si>
    <t>IV69022773</t>
  </si>
  <si>
    <t>หมออำนาจคลินิกเวชกรรม</t>
  </si>
  <si>
    <t>IV69030023</t>
  </si>
  <si>
    <t>IV69030063</t>
  </si>
  <si>
    <t xml:space="preserve">คลินิกหมอจา </t>
  </si>
  <si>
    <t>IV69030024</t>
  </si>
  <si>
    <t xml:space="preserve">รพ.อานันทมหิดล กองเภสัชกรรม </t>
  </si>
  <si>
    <t>ลพบุรี</t>
  </si>
  <si>
    <t>IV69022796</t>
  </si>
  <si>
    <t>วิโรจน์เวชภัณฑ์</t>
  </si>
  <si>
    <t>IV69030091</t>
  </si>
  <si>
    <t>IV69030076</t>
  </si>
  <si>
    <t>ร้านจิตราหมอยา</t>
  </si>
  <si>
    <t>IV69030077</t>
  </si>
  <si>
    <t>รพ.ดอนเจดีย์</t>
  </si>
  <si>
    <t>IV69030036</t>
  </si>
  <si>
    <t>รพ.อุทัยธานี</t>
  </si>
  <si>
    <t>อุทัยธานี</t>
  </si>
  <si>
    <t>IV69023053</t>
  </si>
  <si>
    <t>IV69030039</t>
  </si>
  <si>
    <t>IV69030075</t>
  </si>
  <si>
    <t>IV69023009</t>
  </si>
  <si>
    <t>บจก.รวยมั่งคั่ง 269</t>
  </si>
  <si>
    <t>IV69030159</t>
  </si>
  <si>
    <t>คลังยาแสงทองเภสัชสระบุรี</t>
  </si>
  <si>
    <t>IV69030064,69/030011</t>
  </si>
  <si>
    <t>สมเจตน์การแพทย์คลินิก</t>
  </si>
  <si>
    <t>IV69030050</t>
  </si>
  <si>
    <t>รพ.ด่านช้าง</t>
  </si>
  <si>
    <t>IV69022794</t>
  </si>
  <si>
    <t>หมอนพดลคลินิก</t>
  </si>
  <si>
    <t>IV69023036</t>
  </si>
  <si>
    <t>รพ.แสวงหา</t>
  </si>
  <si>
    <t>IV69023011</t>
  </si>
  <si>
    <t>คลินิกเวชกรรมประชานุกูล</t>
  </si>
  <si>
    <t>ราชบุรี</t>
  </si>
  <si>
    <t>IV69030027</t>
  </si>
  <si>
    <t>รพ.หลวงพ่อเปิ่น</t>
  </si>
  <si>
    <t>IV69022759</t>
  </si>
  <si>
    <t>ศรีฟ้าฟาร์มาซี</t>
  </si>
  <si>
    <t>IV69023090</t>
  </si>
  <si>
    <t>คลินิกนพ.นิติชาญ</t>
  </si>
  <si>
    <t>IV69023040</t>
  </si>
  <si>
    <t>คลินิกเวชกรรมสุวิทย์</t>
  </si>
  <si>
    <t>IV69023094</t>
  </si>
  <si>
    <t>วางใจเภสัช</t>
  </si>
  <si>
    <t>IV69023028</t>
  </si>
  <si>
    <t>จารุวีร์เภสัช</t>
  </si>
  <si>
    <t>IV69023026,27</t>
  </si>
  <si>
    <t>สหภัณฑ์เภสัช</t>
  </si>
  <si>
    <t>IV69023091,92</t>
  </si>
  <si>
    <t>บจก.รพ.ปิยะเวชช์ ระยอง</t>
  </si>
  <si>
    <t>IV69022998</t>
  </si>
  <si>
    <t>บจก.พรชัยการแพทย์</t>
  </si>
  <si>
    <t>IV69030034</t>
  </si>
  <si>
    <t>บจก.ชลบุรีเภสัช</t>
  </si>
  <si>
    <t>IV69023025</t>
  </si>
  <si>
    <t>คลินิกเวชกรรมดำเกิง</t>
  </si>
  <si>
    <t>IV69030028</t>
  </si>
  <si>
    <t>เตชะการแพทย์เภสัช</t>
  </si>
  <si>
    <t>IV69023024</t>
  </si>
  <si>
    <t>บจก.คลังยาดุสิตา</t>
  </si>
  <si>
    <t>IV69023033</t>
  </si>
  <si>
    <t>รพ.มหาราชนครราชสีมา</t>
  </si>
  <si>
    <t>IV69022908</t>
  </si>
  <si>
    <t>คลินิกเวชกรรมโคกกรวดการแพทย์</t>
  </si>
  <si>
    <t>IV69023041</t>
  </si>
  <si>
    <t>บจก.รพ.พญาไทศรีราชา</t>
  </si>
  <si>
    <t>IV69023048</t>
  </si>
  <si>
    <t>ค่ายบางระจันเภสัช</t>
  </si>
  <si>
    <t>IV69023032</t>
  </si>
  <si>
    <t>รพ.โพธ์ทอง</t>
  </si>
  <si>
    <t>IV69022774</t>
  </si>
  <si>
    <t>คุณนพพล พงษ์ภมร</t>
  </si>
  <si>
    <t>IV69023043</t>
  </si>
  <si>
    <t>รพ.แปลงยาว</t>
  </si>
  <si>
    <t>IV69022793</t>
  </si>
  <si>
    <t>รพ.กบินทร์บุรี</t>
  </si>
  <si>
    <t>IV69022778</t>
  </si>
  <si>
    <t>IV69023010</t>
  </si>
  <si>
    <t>บจก.ห้างขายยาประวิทย์เกร</t>
  </si>
  <si>
    <t>IV69030255</t>
  </si>
  <si>
    <t>ร้านยาดี</t>
  </si>
  <si>
    <t>IV69030100</t>
  </si>
  <si>
    <t>หมออำนาจคลินิก</t>
  </si>
  <si>
    <t>IV69030204</t>
  </si>
  <si>
    <t>ลินิกแพทย์ศิวัต</t>
  </si>
  <si>
    <t>นครนายก</t>
  </si>
  <si>
    <t>IV69030141</t>
  </si>
  <si>
    <t>รพ.สมเด็จพระพุทธเลิศหล้า</t>
  </si>
  <si>
    <t>สมุทรสงคราม</t>
  </si>
  <si>
    <t>IV69022791</t>
  </si>
  <si>
    <t>รพ.ศรีประจันต์</t>
  </si>
  <si>
    <t>IV69030148</t>
  </si>
  <si>
    <t>สุวรรณเวช</t>
  </si>
  <si>
    <t>IV69030132</t>
  </si>
  <si>
    <t>บจก.เอสพี ดรัก สโตร์</t>
  </si>
  <si>
    <t>IV69030071,124</t>
  </si>
  <si>
    <t>บจก.ลี้ย่งฮุย</t>
  </si>
  <si>
    <t>IV69030257,69/030030</t>
  </si>
  <si>
    <t>โคราชเภสัช</t>
  </si>
  <si>
    <t>IV69030025,30-32,67,69/030007</t>
  </si>
  <si>
    <t>หจก.ธนกิจเภสัช</t>
  </si>
  <si>
    <t>IV69030291,92</t>
  </si>
  <si>
    <t>คลอง18 สหคลินิก</t>
  </si>
  <si>
    <t>IV69030139</t>
  </si>
  <si>
    <t>ธัญญะไทยโอสถ</t>
  </si>
  <si>
    <t>IV69030256</t>
  </si>
  <si>
    <t>รพ.หนองหญ้าไซ</t>
  </si>
  <si>
    <t>IV69030149</t>
  </si>
  <si>
    <t>บจก.สุวรรณโอสถ</t>
  </si>
  <si>
    <t>IV69030400</t>
  </si>
  <si>
    <t>IV69030378,69/030038,41</t>
  </si>
  <si>
    <t>ร้านยากองแก้ว</t>
  </si>
  <si>
    <t>IV69030326</t>
  </si>
  <si>
    <t>คลินิกผิวหนังหมอมณฑล</t>
  </si>
  <si>
    <t>IV69030324</t>
  </si>
  <si>
    <t>รพ.พิมาย</t>
  </si>
  <si>
    <t>IV69030454</t>
  </si>
  <si>
    <t>โชคชัยฟาร์มาซี</t>
  </si>
  <si>
    <t>IV69030399</t>
  </si>
  <si>
    <t>บจก.โสธรเวชกิจ</t>
  </si>
  <si>
    <t>IV69022733</t>
  </si>
  <si>
    <t>บจก.บูรพาคลินิค</t>
  </si>
  <si>
    <t>จันทบุรี</t>
  </si>
  <si>
    <t>IV69030275</t>
  </si>
  <si>
    <t>เหลืองเวชภัณฑ์ 2</t>
  </si>
  <si>
    <t>IV69030314</t>
  </si>
  <si>
    <t>คลินิกเวชกรรมแพทย์พิบูล</t>
  </si>
  <si>
    <t>IV69030349</t>
  </si>
  <si>
    <t>ร้านกิตติฟาร์มาซี</t>
  </si>
  <si>
    <t>IV69030263</t>
  </si>
  <si>
    <t>จำรับยา</t>
  </si>
  <si>
    <t>IV69030420</t>
  </si>
  <si>
    <t>ศีลประชาคลินิกเวชกรรม</t>
  </si>
  <si>
    <t>IV69030350</t>
  </si>
  <si>
    <t>คลินิกเวชกรรมแพทย์สมเกียรติ</t>
  </si>
  <si>
    <t>IV69030271</t>
  </si>
  <si>
    <t>IV69030410</t>
  </si>
  <si>
    <t>บจก.ปัณณ์ยา เมดิคอล</t>
  </si>
  <si>
    <t>69/030040</t>
  </si>
  <si>
    <t>สบายดีเภสัช</t>
  </si>
  <si>
    <t>IV69030419</t>
  </si>
  <si>
    <t>คลินิกเวชกรรมหมอปุ้ม</t>
  </si>
  <si>
    <t>IV69030273</t>
  </si>
  <si>
    <t>IV69030347</t>
  </si>
  <si>
    <t>คลินิกหมออัญญารัตน์</t>
  </si>
  <si>
    <t>IV69030270</t>
  </si>
  <si>
    <t>พัฒนาเภสัช</t>
  </si>
  <si>
    <t>IV69030409</t>
  </si>
  <si>
    <t>พรเพ็ญเภสัช</t>
  </si>
  <si>
    <t>IV69030423</t>
  </si>
  <si>
    <t>คลินิกนพ.อาทร</t>
  </si>
  <si>
    <t>IV69030433</t>
  </si>
  <si>
    <t>ประสพโอสถ</t>
  </si>
  <si>
    <t>IV69030412</t>
  </si>
  <si>
    <t>IV69030328</t>
  </si>
  <si>
    <t>IV69030512</t>
  </si>
  <si>
    <t>ว.สุวรรณฟาร์มาซี</t>
  </si>
  <si>
    <t>IV69030407</t>
  </si>
  <si>
    <t>คลินิกหมอพิชญา</t>
  </si>
  <si>
    <t>IV69030279</t>
  </si>
  <si>
    <t>เภสัชชุมชน</t>
  </si>
  <si>
    <t>IV69030430</t>
  </si>
  <si>
    <t>เจ แอนด์ เอ็น</t>
  </si>
  <si>
    <t>IV69030429</t>
  </si>
  <si>
    <t>คลินิกแพทย์กนกวุฒิ</t>
  </si>
  <si>
    <t>IV69030438,69/030048</t>
  </si>
  <si>
    <t>รพ.ลำทะเมนชัย</t>
  </si>
  <si>
    <t>IV69030452</t>
  </si>
  <si>
    <t>คุณจ๋าเภสัช</t>
  </si>
  <si>
    <t>IV69030450</t>
  </si>
  <si>
    <t>ประสิทธิ์โอสถ</t>
  </si>
  <si>
    <t>IV69030411</t>
  </si>
  <si>
    <t>รพ.จันทรุเบกษา</t>
  </si>
  <si>
    <t>IV69030360</t>
  </si>
  <si>
    <t>อู่ทองฟาร์มาซี</t>
  </si>
  <si>
    <t>IV69030408</t>
  </si>
  <si>
    <t>เพฌญสกุลเภสัช</t>
  </si>
  <si>
    <t>IV69030417</t>
  </si>
  <si>
    <t>หมอธนาคลินิกเวชกรรม</t>
  </si>
  <si>
    <t>IV69030431</t>
  </si>
  <si>
    <t>บจก.พัทยา 2 เวชการกิจ</t>
  </si>
  <si>
    <t>IV69030269</t>
  </si>
  <si>
    <t>รพ.นครนายก</t>
  </si>
  <si>
    <t>IV69030692</t>
  </si>
  <si>
    <t>รพ.ห้วยพลู</t>
  </si>
  <si>
    <t>IV69030764</t>
  </si>
  <si>
    <t>รพ.รร.นายร้อย พระจุลจอมเกล้า</t>
  </si>
  <si>
    <t>IV69030680</t>
  </si>
  <si>
    <t>คลินกแพทย์ไพบูลย์</t>
  </si>
  <si>
    <t>IV69030550</t>
  </si>
  <si>
    <t>IV69030596</t>
  </si>
  <si>
    <t>รพ.เอกชล</t>
  </si>
  <si>
    <t>IV69030560</t>
  </si>
  <si>
    <t>รพ.พนัสนิคม</t>
  </si>
  <si>
    <t>IV69030682</t>
  </si>
  <si>
    <t>รพ.วิภาราม(อมตะนคร)</t>
  </si>
  <si>
    <t>IV69030796</t>
  </si>
  <si>
    <t>วิชัยคลินิก</t>
  </si>
  <si>
    <t>IV69030657</t>
  </si>
  <si>
    <t>คลินิกนพ.สุพร</t>
  </si>
  <si>
    <t>IV69030548</t>
  </si>
  <si>
    <t>IV69030549</t>
  </si>
  <si>
    <t>ชาญจิตร์คลินิก</t>
  </si>
  <si>
    <t>IV69030650</t>
  </si>
  <si>
    <t>บี เอส ฟาร์มาซี</t>
  </si>
  <si>
    <t>IV69030733</t>
  </si>
  <si>
    <t>รพ.เทพารักษ์</t>
  </si>
  <si>
    <t>IV69030335</t>
  </si>
  <si>
    <t>รพ.สูงเนิน</t>
  </si>
  <si>
    <t>IV69030331</t>
  </si>
  <si>
    <t>นารายณ์เภสัช</t>
  </si>
  <si>
    <t>IV69030643</t>
  </si>
  <si>
    <t>สมบูรณ์โอสถ</t>
  </si>
  <si>
    <t>IV69030642</t>
  </si>
  <si>
    <t>กู้ชัยเวชการ</t>
  </si>
  <si>
    <t>IV69030673</t>
  </si>
  <si>
    <t>เบสท์ฟาร์มาซี</t>
  </si>
  <si>
    <t>IV69030662</t>
  </si>
  <si>
    <t>รพ.บางปะอิน</t>
  </si>
  <si>
    <t>IV69030447</t>
  </si>
  <si>
    <t>ชุมชนเภสัช</t>
  </si>
  <si>
    <t>IV69030651</t>
  </si>
  <si>
    <t>คลินิกเวชกรรมนพ.จาตุรนต์</t>
  </si>
  <si>
    <t>IV69030558</t>
  </si>
  <si>
    <t>IV69030672</t>
  </si>
  <si>
    <t>หจก.อวยแซตึ๊ง</t>
  </si>
  <si>
    <t>IV69030728</t>
  </si>
  <si>
    <t>ศูนย์แพทย์เอกชนลพบุรี</t>
  </si>
  <si>
    <t>IV69030557</t>
  </si>
  <si>
    <t>รพ.ขามสะแกแสง</t>
  </si>
  <si>
    <t>IV69030333</t>
  </si>
  <si>
    <t>รพ.โฮมฉะเชิงเทรา</t>
  </si>
  <si>
    <t>IV69030564</t>
  </si>
  <si>
    <t>รพ.จักราช</t>
  </si>
  <si>
    <t>IV69030332</t>
  </si>
  <si>
    <t>ถุงเงินเภสัช</t>
  </si>
  <si>
    <t>IV69030646,69/030055</t>
  </si>
  <si>
    <t>ชัยธานีเภสัช</t>
  </si>
  <si>
    <t>IV69030544</t>
  </si>
  <si>
    <t>แพทย์เสรีย์-พญ.ศิริลักษณ์คลินิก</t>
  </si>
  <si>
    <t>IV69030432</t>
  </si>
  <si>
    <t>คลินิกหมอจา</t>
  </si>
  <si>
    <t>IV69030428</t>
  </si>
  <si>
    <t>IV69030537</t>
  </si>
  <si>
    <t>ร้านวศินีเภสัช</t>
  </si>
  <si>
    <t>IV69030641</t>
  </si>
  <si>
    <t>รพ.หนองฉาง</t>
  </si>
  <si>
    <t>IV69030443</t>
  </si>
  <si>
    <t>รพ.ปักธงชัย</t>
  </si>
  <si>
    <t>IV69030453</t>
  </si>
  <si>
    <t>IV69030509</t>
  </si>
  <si>
    <t>IV69030538,39</t>
  </si>
  <si>
    <t>บ้านยาโพธิ์พระยาเภสัช</t>
  </si>
  <si>
    <t>IV69030540,41</t>
  </si>
  <si>
    <t>IV69030381</t>
  </si>
  <si>
    <t>ร้านพอเพียงเภสัช</t>
  </si>
  <si>
    <t>IV69030543</t>
  </si>
  <si>
    <t>IV69030542</t>
  </si>
  <si>
    <t>ร้านยาใจดี</t>
  </si>
  <si>
    <t>IV69030623</t>
  </si>
  <si>
    <t>สาธิตฟาร์มาซี</t>
  </si>
  <si>
    <t>IV69030536</t>
  </si>
  <si>
    <t>IV69030559</t>
  </si>
  <si>
    <t>สมชัยคลินิกเวชกรรม</t>
  </si>
  <si>
    <t>IV69030555</t>
  </si>
  <si>
    <t>คลินิกทันตกรรมครอบครัวฟันดี</t>
  </si>
  <si>
    <t>IV69030547</t>
  </si>
  <si>
    <t>สหคลินิกแพทย์สมบูรณ์-จิรภา มะลิขาว</t>
  </si>
  <si>
    <t>IV69030546</t>
  </si>
  <si>
    <t>บจก.ซี เอ็น  วาย เฮลท์แคร์</t>
  </si>
  <si>
    <t>IV69030743</t>
  </si>
  <si>
    <t>คลังยาเภสัช</t>
  </si>
  <si>
    <t>IV69030741</t>
  </si>
  <si>
    <t>รพ.ไชโย</t>
  </si>
  <si>
    <t>IV69030689</t>
  </si>
  <si>
    <t>รพ.สีคิ้ว</t>
  </si>
  <si>
    <t>IV69030688</t>
  </si>
  <si>
    <t>ศิริเวชภัณฑ์</t>
  </si>
  <si>
    <t>IV69030734</t>
  </si>
  <si>
    <t>IV69030735</t>
  </si>
  <si>
    <t>บจก.ฟาร์ม่าฮับ ดรักสโ๖ร์</t>
  </si>
  <si>
    <t>IV69030736,37</t>
  </si>
  <si>
    <t>บจก.พารากอน ฟาร์มา</t>
  </si>
  <si>
    <t>IV69030747</t>
  </si>
  <si>
    <t>IV69030858</t>
  </si>
  <si>
    <t>รพ.ส่งเสริมสุขภาพต.ศรีษะละเลิง</t>
  </si>
  <si>
    <t>IV69030584</t>
  </si>
  <si>
    <t>IV69030761</t>
  </si>
  <si>
    <t>รพ.หนองบุญมาก</t>
  </si>
  <si>
    <t>IV69030579</t>
  </si>
  <si>
    <t>บจก.เอสพี ดรัก สโ๖ร์ 2020</t>
  </si>
  <si>
    <t>IV69030916</t>
  </si>
  <si>
    <t>บจก.เวลเล็ค ฟาร์มา</t>
  </si>
  <si>
    <t>IV69030910-15</t>
  </si>
  <si>
    <t>รพ.พระทองคำเฉลิมพระเกียรติ 80 พรรษา</t>
  </si>
  <si>
    <t>IV69030585</t>
  </si>
  <si>
    <t>รพ.คง</t>
  </si>
  <si>
    <t>IV69030780</t>
  </si>
  <si>
    <t>IV69030586,87</t>
  </si>
  <si>
    <t>IV69030569</t>
  </si>
  <si>
    <t>รพ.คลองเขื่อน</t>
  </si>
  <si>
    <t>รพ.ขามทะเลสอ</t>
  </si>
  <si>
    <t>IV69030583</t>
  </si>
  <si>
    <t>โอสถทองเจริญ</t>
  </si>
  <si>
    <t>IV69030857</t>
  </si>
  <si>
    <t>IV69030969</t>
  </si>
  <si>
    <t>IV69031022,69/030090</t>
  </si>
  <si>
    <t>คลินิกเวชกรรมบุญนำการแพทย์</t>
  </si>
  <si>
    <t>IV69030909</t>
  </si>
  <si>
    <t>เกรียงศักดิ์ฟาร์มาซี 2</t>
  </si>
  <si>
    <t>IV69030813</t>
  </si>
  <si>
    <t>IV69030805,06</t>
  </si>
  <si>
    <t>รพ.สิงห์บุรี</t>
  </si>
  <si>
    <t>IV69030590</t>
  </si>
  <si>
    <t>IV69030824</t>
  </si>
  <si>
    <t>IV69030825</t>
  </si>
  <si>
    <t>รพ.เสนา</t>
  </si>
  <si>
    <t>IV69030444</t>
  </si>
  <si>
    <t>รพ.สว่างอารมณ์</t>
  </si>
  <si>
    <t>IV69030446</t>
  </si>
  <si>
    <t>คลินิกเวชกรรมแพทย์อุไร</t>
  </si>
  <si>
    <t>IV69030746</t>
  </si>
  <si>
    <t>IV69030445</t>
  </si>
  <si>
    <t>รพ.อินทร์บุรี</t>
  </si>
  <si>
    <t>สุวรรณโอสถ ยาไทย</t>
  </si>
  <si>
    <t>IV69030647,69/030057</t>
  </si>
  <si>
    <t>คุณสมยศ รักษาศีล</t>
  </si>
  <si>
    <t>IV69030897,69/030083</t>
  </si>
  <si>
    <t>บจก.ศักดิ์ชัยเภสัช</t>
  </si>
  <si>
    <t>IV69030971,72</t>
  </si>
  <si>
    <t>IV69030781</t>
  </si>
  <si>
    <t>เพ็ญภัสสรเภสัช</t>
  </si>
  <si>
    <t>IV69030807</t>
  </si>
  <si>
    <t>คลินิกเวชกรรมแพทย์ไกรวัลย์</t>
  </si>
  <si>
    <t>IV69030652</t>
  </si>
  <si>
    <t>รพ.วิเศษชัยชาญ</t>
  </si>
  <si>
    <t>IV69030588</t>
  </si>
  <si>
    <t>รพ.ท่าหลวง</t>
  </si>
  <si>
    <t>IV69030358</t>
  </si>
  <si>
    <t>รพ.สนามชัยเขต</t>
  </si>
  <si>
    <t>IV69030683</t>
  </si>
  <si>
    <t>IV69030690</t>
  </si>
  <si>
    <t>บจก.เอสพี ดรัก สโตร์ 2020</t>
  </si>
  <si>
    <t>IV69030626</t>
  </si>
  <si>
    <t>อรุณฟาร์มาซี</t>
  </si>
  <si>
    <t>IV69030965</t>
  </si>
  <si>
    <t>รุ่งเรืองคลินิก</t>
  </si>
  <si>
    <t>IV69030901</t>
  </si>
  <si>
    <t>IV69030589</t>
  </si>
  <si>
    <t>IV69030895</t>
  </si>
  <si>
    <t>คลินิกแพทย์อภิชัย</t>
  </si>
  <si>
    <t>บจก.รพ.วิภาราม(อมตะนคร)</t>
  </si>
  <si>
    <t>IV69031064</t>
  </si>
  <si>
    <t>บจก.คลินิกนพ.เกศ</t>
  </si>
  <si>
    <t>IV69030966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</si>
</sst>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"/>
      <color theme="1"/>
      <name val="SukhumvitSet-Text"/>
    </font>
    <font>
      <b/>
      <sz val="14"/>
      <color rgb="FFFF0000"/>
      <name val="SukhumvitSet-Text"/>
    </font>
    <font>
      <sz val="12"/>
      <color theme="1"/>
      <name val="Sukhumvit Set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3d1" displayName="D3d1" ref="A3:E30">
  <autoFilter ref="A3:E30" xr:uid="{00000000-0009-0000-0100-000001000000}"/>
  <sortState xmlns:xlrd2="http://schemas.microsoft.com/office/spreadsheetml/2017/richdata2" ref="A4:E30">
    <sortCondition ref="C3:C30"/>
  </sortState>
  <tableColumns count="5">
    <tableColumn id="1" xr3:uid="{00000000-0010-0000-0000-000001000000}" name="ลำดับที่"/>
    <tableColumn id="2" xr3:uid="{00000000-0010-0000-0000-000002000000}" name="ชื่อร้านค้า/โรงพยาบาล/คลินิก"/>
    <tableColumn id="3" xr3:uid="{00000000-0010-0000-0000-000003000000}" name="จังหวัด"/>
    <tableColumn id="4" xr3:uid="{00000000-0010-0000-0000-000004000000}" name="จำนวน"/>
    <tableColumn id="5" xr3:uid="{00000000-0010-0000-0000-000005000000}" name="หมายเหตุ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3d3" displayName="D3d3" ref="A3:E48">
  <autoFilter ref="A3:E48" xr:uid="{00000000-0009-0000-0100-000003000000}"/>
  <sortState xmlns:xlrd2="http://schemas.microsoft.com/office/spreadsheetml/2017/richdata2" ref="A4:E48">
    <sortCondition ref="C3:C48"/>
  </sortState>
  <tableColumns count="5">
    <tableColumn id="1" xr3:uid="{00000000-0010-0000-0200-000001000000}" name="ลำดับที่"/>
    <tableColumn id="2" xr3:uid="{00000000-0010-0000-0200-000002000000}" name="ชื่อร้านค้า/โรงพยาบาล/คลินิก"/>
    <tableColumn id="3" xr3:uid="{00000000-0010-0000-0200-000003000000}" name="จังหวัด"/>
    <tableColumn id="4" xr3:uid="{00000000-0010-0000-0200-000004000000}" name="จำนวน"/>
    <tableColumn id="5" xr3:uid="{00000000-0010-0000-0200-000005000000}" name="หมายเหตุ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3d4" displayName="D3d4" ref="A3:E16">
  <autoFilter ref="A3:E16" xr:uid="{00000000-0009-0000-0100-000004000000}"/>
  <sortState xmlns:xlrd2="http://schemas.microsoft.com/office/spreadsheetml/2017/richdata2" ref="A4:E16">
    <sortCondition ref="C3:C16"/>
  </sortState>
  <tableColumns count="5">
    <tableColumn id="1" xr3:uid="{00000000-0010-0000-0300-000001000000}" name="ลำดับที่"/>
    <tableColumn id="2" xr3:uid="{00000000-0010-0000-0300-000002000000}" name="ชื่อร้านค้า/โรงพยาบาล/คลินิก"/>
    <tableColumn id="3" xr3:uid="{00000000-0010-0000-0300-000003000000}" name="จังหวัด"/>
    <tableColumn id="4" xr3:uid="{00000000-0010-0000-0300-000004000000}" name="จำนวน"/>
    <tableColumn id="5" xr3:uid="{00000000-0010-0000-0300-000005000000}" name="หมายเหตุ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3d5" displayName="D3d5" ref="A3:E35">
  <autoFilter ref="A3:E35" xr:uid="{00000000-0009-0000-0100-000005000000}"/>
  <sortState xmlns:xlrd2="http://schemas.microsoft.com/office/spreadsheetml/2017/richdata2" ref="A4:E35">
    <sortCondition ref="C3:C35"/>
  </sortState>
  <tableColumns count="5">
    <tableColumn id="1" xr3:uid="{00000000-0010-0000-0400-000001000000}" name="ลำดับที่"/>
    <tableColumn id="2" xr3:uid="{00000000-0010-0000-0400-000002000000}" name="ชื่อร้านค้า/โรงพยาบาล/คลินิก"/>
    <tableColumn id="3" xr3:uid="{00000000-0010-0000-0400-000003000000}" name="จังหวัด"/>
    <tableColumn id="4" xr3:uid="{00000000-0010-0000-0400-000004000000}" name="จำนวน"/>
    <tableColumn id="5" xr3:uid="{00000000-0010-0000-0400-000005000000}" name="หมายเหตุ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3d6" displayName="D3d6" ref="A3:E70">
  <autoFilter ref="A3:E70" xr:uid="{00000000-0009-0000-0100-000006000000}"/>
  <sortState xmlns:xlrd2="http://schemas.microsoft.com/office/spreadsheetml/2017/richdata2" ref="A4:E70">
    <sortCondition ref="C3:C70"/>
  </sortState>
  <tableColumns count="5">
    <tableColumn id="1" xr3:uid="{00000000-0010-0000-0500-000001000000}" name="ลำดับที่"/>
    <tableColumn id="2" xr3:uid="{00000000-0010-0000-0500-000002000000}" name="ชื่อร้านค้า/โรงพยาบาล/คลินิก"/>
    <tableColumn id="3" xr3:uid="{00000000-0010-0000-0500-000003000000}" name="จังหวัด"/>
    <tableColumn id="4" xr3:uid="{00000000-0010-0000-0500-000004000000}" name="จำนวน"/>
    <tableColumn id="5" xr3:uid="{00000000-0010-0000-0500-000005000000}" name="หมายเหตุ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3d7" displayName="D3d7" ref="A3:E33">
  <autoFilter ref="A3:E33" xr:uid="{00000000-0009-0000-0100-000007000000}"/>
  <sortState xmlns:xlrd2="http://schemas.microsoft.com/office/spreadsheetml/2017/richdata2" ref="A4:E33">
    <sortCondition ref="C3:C33"/>
  </sortState>
  <tableColumns count="5">
    <tableColumn id="1" xr3:uid="{00000000-0010-0000-0600-000001000000}" name="ลำดับที่"/>
    <tableColumn id="2" xr3:uid="{00000000-0010-0000-0600-000002000000}" name="ชื่อร้านค้า/โรงพยาบาล/คลินิก"/>
    <tableColumn id="3" xr3:uid="{00000000-0010-0000-0600-000003000000}" name="จังหวัด"/>
    <tableColumn id="4" xr3:uid="{00000000-0010-0000-0600-000004000000}" name="จำนวน"/>
    <tableColumn id="5" xr3:uid="{00000000-0010-0000-0600-000005000000}" name="หมายเหตุ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3d8" displayName="D3d8" ref="A3:E53">
  <autoFilter ref="A3:E53" xr:uid="{00000000-0009-0000-0100-000008000000}"/>
  <tableColumns count="5">
    <tableColumn id="1" xr3:uid="{00000000-0010-0000-0700-000001000000}" name="ลำดับที่"/>
    <tableColumn id="2" xr3:uid="{00000000-0010-0000-0700-000002000000}" name="ชื่อร้านค้า/โรงพยาบาล/คลินิก"/>
    <tableColumn id="3" xr3:uid="{00000000-0010-0000-0700-000003000000}" name="จังหวัด"/>
    <tableColumn id="4" xr3:uid="{00000000-0010-0000-0700-000004000000}" name="จำนวน"/>
    <tableColumn id="5" xr3:uid="{00000000-0010-0000-0700-000005000000}" name="หมายเหตุ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3d9" displayName="D3d9" ref="A3:E53">
  <autoFilter ref="A3:E53" xr:uid="{00000000-0009-0000-0100-000009000000}"/>
  <tableColumns count="5">
    <tableColumn id="1" xr3:uid="{00000000-0010-0000-0800-000001000000}" name="ลำดับที่"/>
    <tableColumn id="2" xr3:uid="{00000000-0010-0000-0800-000002000000}" name="ชื่อร้านค้า/โรงพยาบาล/คลินิก"/>
    <tableColumn id="3" xr3:uid="{00000000-0010-0000-0800-000003000000}" name="จังหวัด"/>
    <tableColumn id="4" xr3:uid="{00000000-0010-0000-0800-000004000000}" name="จำนวน"/>
    <tableColumn id="5" xr3:uid="{00000000-0010-0000-0800-000005000000}" name="หมายเหตุ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3d10" displayName="D3d10" ref="A3:E53">
  <autoFilter ref="A3:E53" xr:uid="{00000000-0009-0000-0100-00000A000000}"/>
  <tableColumns count="5">
    <tableColumn id="1" xr3:uid="{00000000-0010-0000-0900-000001000000}" name="ลำดับที่"/>
    <tableColumn id="2" xr3:uid="{00000000-0010-0000-0900-000002000000}" name="ชื่อร้านค้า/โรงพยาบาล/คลินิก"/>
    <tableColumn id="3" xr3:uid="{00000000-0010-0000-0900-000003000000}" name="จังหวัด"/>
    <tableColumn id="4" xr3:uid="{00000000-0010-0000-0900-000004000000}" name="จำนวน"/>
    <tableColumn id="5" xr3:uid="{00000000-0010-0000-0900-000005000000}" name="หมายเหตุ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D3d11" displayName="D3d11" ref="A3:E53">
  <autoFilter ref="A3:E53" xr:uid="{00000000-0009-0000-0100-00000B000000}"/>
  <tableColumns count="5">
    <tableColumn id="1" xr3:uid="{00000000-0010-0000-0A00-000001000000}" name="ลำดับที่"/>
    <tableColumn id="2" xr3:uid="{00000000-0010-0000-0A00-000002000000}" name="ชื่อร้านค้า/โรงพยาบาล/คลินิก"/>
    <tableColumn id="3" xr3:uid="{00000000-0010-0000-0A00-000003000000}" name="จังหวัด"/>
    <tableColumn id="4" xr3:uid="{00000000-0010-0000-0A00-000004000000}" name="จำนวน"/>
    <tableColumn id="5" xr3:uid="{00000000-0010-0000-0A00-000005000000}" name="หมายเหตุ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D3d12" displayName="D3d12" ref="A3:E53">
  <autoFilter ref="A3:E53" xr:uid="{00000000-0009-0000-0100-00000C000000}"/>
  <tableColumns count="5">
    <tableColumn id="1" xr3:uid="{00000000-0010-0000-0B00-000001000000}" name="ลำดับที่"/>
    <tableColumn id="2" xr3:uid="{00000000-0010-0000-0B00-000002000000}" name="ชื่อร้านค้า/โรงพยาบาล/คลินิก"/>
    <tableColumn id="3" xr3:uid="{00000000-0010-0000-0B00-000003000000}" name="จังหวัด"/>
    <tableColumn id="4" xr3:uid="{00000000-0010-0000-0B00-000004000000}" name="จำนวน"/>
    <tableColumn id="5" xr3:uid="{00000000-0010-0000-0B00-000005000000}" name="หมายเหตุ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D3d13" displayName="D3d13" ref="A3:E53">
  <autoFilter ref="A3:E53" xr:uid="{00000000-0009-0000-0100-00000D000000}"/>
  <tableColumns count="5">
    <tableColumn id="1" xr3:uid="{00000000-0010-0000-0C00-000001000000}" name="ลำดับที่"/>
    <tableColumn id="2" xr3:uid="{00000000-0010-0000-0C00-000002000000}" name="ชื่อร้านค้า/โรงพยาบาล/คลินิก"/>
    <tableColumn id="3" xr3:uid="{00000000-0010-0000-0C00-000003000000}" name="จังหวัด"/>
    <tableColumn id="4" xr3:uid="{00000000-0010-0000-0C00-000004000000}" name="จำนวน"/>
    <tableColumn id="5" xr3:uid="{00000000-0010-0000-0C00-000005000000}" name="หมายเหตุ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D3d14" displayName="D3d14" ref="A3:E53">
  <autoFilter ref="A3:E53" xr:uid="{00000000-0009-0000-0100-00000E000000}"/>
  <tableColumns count="5">
    <tableColumn id="1" xr3:uid="{00000000-0010-0000-0D00-000001000000}" name="ลำดับที่"/>
    <tableColumn id="2" xr3:uid="{00000000-0010-0000-0D00-000002000000}" name="ชื่อร้านค้า/โรงพยาบาล/คลินิก"/>
    <tableColumn id="3" xr3:uid="{00000000-0010-0000-0D00-000003000000}" name="จังหวัด"/>
    <tableColumn id="4" xr3:uid="{00000000-0010-0000-0D00-000004000000}" name="จำนวน"/>
    <tableColumn id="5" xr3:uid="{00000000-0010-0000-0D00-000005000000}" name="หมายเหตุ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D3d15" displayName="D3d15" ref="A3:E53">
  <autoFilter ref="A3:E53" xr:uid="{00000000-0009-0000-0100-00000F000000}"/>
  <tableColumns count="5">
    <tableColumn id="1" xr3:uid="{00000000-0010-0000-0E00-000001000000}" name="ลำดับที่"/>
    <tableColumn id="2" xr3:uid="{00000000-0010-0000-0E00-000002000000}" name="ชื่อร้านค้า/โรงพยาบาล/คลินิก"/>
    <tableColumn id="3" xr3:uid="{00000000-0010-0000-0E00-000003000000}" name="จังหวัด"/>
    <tableColumn id="4" xr3:uid="{00000000-0010-0000-0E00-000004000000}" name="จำนวน"/>
    <tableColumn id="5" xr3:uid="{00000000-0010-0000-0E00-000005000000}" name="หมายเหตุ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D3d16" displayName="D3d16" ref="A3:E53">
  <autoFilter ref="A3:E53" xr:uid="{00000000-0009-0000-0100-000010000000}"/>
  <tableColumns count="5">
    <tableColumn id="1" xr3:uid="{00000000-0010-0000-0F00-000001000000}" name="ลำดับที่"/>
    <tableColumn id="2" xr3:uid="{00000000-0010-0000-0F00-000002000000}" name="ชื่อร้านค้า/โรงพยาบาล/คลินิก"/>
    <tableColumn id="3" xr3:uid="{00000000-0010-0000-0F00-000003000000}" name="จังหวัด"/>
    <tableColumn id="4" xr3:uid="{00000000-0010-0000-0F00-000004000000}" name="จำนวน"/>
    <tableColumn id="5" xr3:uid="{00000000-0010-0000-0F00-000005000000}" name="หมายเหตุ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D3d17" displayName="D3d17" ref="A3:E53">
  <autoFilter ref="A3:E53" xr:uid="{00000000-0009-0000-0100-000011000000}"/>
  <tableColumns count="5">
    <tableColumn id="1" xr3:uid="{00000000-0010-0000-1000-000001000000}" name="ลำดับที่"/>
    <tableColumn id="2" xr3:uid="{00000000-0010-0000-1000-000002000000}" name="ชื่อร้านค้า/โรงพยาบาล/คลินิก"/>
    <tableColumn id="3" xr3:uid="{00000000-0010-0000-1000-000003000000}" name="จังหวัด"/>
    <tableColumn id="4" xr3:uid="{00000000-0010-0000-1000-000004000000}" name="จำนวน"/>
    <tableColumn id="5" xr3:uid="{00000000-0010-0000-1000-000005000000}" name="หมายเหตุ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D3d18" displayName="D3d18" ref="A3:E53">
  <autoFilter ref="A3:E53" xr:uid="{00000000-0009-0000-0100-000012000000}"/>
  <tableColumns count="5">
    <tableColumn id="1" xr3:uid="{00000000-0010-0000-1100-000001000000}" name="ลำดับที่"/>
    <tableColumn id="2" xr3:uid="{00000000-0010-0000-1100-000002000000}" name="ชื่อร้านค้า/โรงพยาบาล/คลินิก"/>
    <tableColumn id="3" xr3:uid="{00000000-0010-0000-1100-000003000000}" name="จังหวัด"/>
    <tableColumn id="4" xr3:uid="{00000000-0010-0000-1100-000004000000}" name="จำนวน"/>
    <tableColumn id="5" xr3:uid="{00000000-0010-0000-1100-000005000000}" name="หมายเหตุ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D3d19" displayName="D3d19" ref="A3:E53">
  <autoFilter ref="A3:E53" xr:uid="{00000000-0009-0000-0100-000013000000}"/>
  <tableColumns count="5">
    <tableColumn id="1" xr3:uid="{00000000-0010-0000-1200-000001000000}" name="ลำดับที่"/>
    <tableColumn id="2" xr3:uid="{00000000-0010-0000-1200-000002000000}" name="ชื่อร้านค้า/โรงพยาบาล/คลินิก"/>
    <tableColumn id="3" xr3:uid="{00000000-0010-0000-1200-000003000000}" name="จังหวัด"/>
    <tableColumn id="4" xr3:uid="{00000000-0010-0000-1200-000004000000}" name="จำนวน"/>
    <tableColumn id="5" xr3:uid="{00000000-0010-0000-1200-000005000000}" name="หมายเหตุ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D3d20" displayName="D3d20" ref="A3:E53">
  <autoFilter ref="A3:E53" xr:uid="{00000000-0009-0000-0100-000014000000}"/>
  <tableColumns count="5">
    <tableColumn id="1" xr3:uid="{00000000-0010-0000-1300-000001000000}" name="ลำดับที่"/>
    <tableColumn id="2" xr3:uid="{00000000-0010-0000-1300-000002000000}" name="ชื่อร้านค้า/โรงพยาบาล/คลินิก"/>
    <tableColumn id="3" xr3:uid="{00000000-0010-0000-1300-000003000000}" name="จังหวัด"/>
    <tableColumn id="4" xr3:uid="{00000000-0010-0000-1300-000004000000}" name="จำนวน"/>
    <tableColumn id="5" xr3:uid="{00000000-0010-0000-1300-000005000000}" name="หมายเหตุ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D3d21" displayName="D3d21" ref="A3:E53">
  <autoFilter ref="A3:E53" xr:uid="{00000000-0009-0000-0100-000015000000}"/>
  <tableColumns count="5">
    <tableColumn id="1" xr3:uid="{00000000-0010-0000-1400-000001000000}" name="ลำดับที่"/>
    <tableColumn id="2" xr3:uid="{00000000-0010-0000-1400-000002000000}" name="ชื่อร้านค้า/โรงพยาบาล/คลินิก"/>
    <tableColumn id="3" xr3:uid="{00000000-0010-0000-1400-000003000000}" name="จังหวัด"/>
    <tableColumn id="4" xr3:uid="{00000000-0010-0000-1400-000004000000}" name="จำนวน"/>
    <tableColumn id="5" xr3:uid="{00000000-0010-0000-1400-000005000000}" name="หมายเหตุ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D3d22" displayName="D3d22" ref="A3:E53">
  <autoFilter ref="A3:E53" xr:uid="{00000000-0009-0000-0100-000016000000}"/>
  <tableColumns count="5">
    <tableColumn id="1" xr3:uid="{00000000-0010-0000-1500-000001000000}" name="ลำดับที่"/>
    <tableColumn id="2" xr3:uid="{00000000-0010-0000-1500-000002000000}" name="ชื่อร้านค้า/โรงพยาบาล/คลินิก"/>
    <tableColumn id="3" xr3:uid="{00000000-0010-0000-1500-000003000000}" name="จังหวัด"/>
    <tableColumn id="4" xr3:uid="{00000000-0010-0000-1500-000004000000}" name="จำนวน"/>
    <tableColumn id="5" xr3:uid="{00000000-0010-0000-1500-000005000000}" name="หมายเหตุ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workbookViewId="0">
      <selection activeCell="D29" sqref="D29"/>
    </sheetView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3" t="s">
        <v>0</v>
      </c>
      <c r="B1" s="14"/>
      <c r="C1" s="14"/>
      <c r="D1" s="14"/>
      <c r="E1" s="14"/>
    </row>
    <row r="2" spans="1:5" ht="29" customHeight="1">
      <c r="A2" s="2" t="s">
        <v>1</v>
      </c>
      <c r="B2" s="3" t="s">
        <v>2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ROW()-ROW(D3d1[[#Headers],[ลำดับที่]])</f>
        <v>1</v>
      </c>
      <c r="B4" s="8" t="s">
        <v>50</v>
      </c>
      <c r="C4" s="1" t="s">
        <v>51</v>
      </c>
      <c r="D4" s="1">
        <v>1</v>
      </c>
      <c r="E4" s="9" t="s">
        <v>52</v>
      </c>
    </row>
    <row r="5" spans="1:5" ht="29" customHeight="1">
      <c r="A5" s="7">
        <f>ROW()-ROW(D3d1[[#Headers],[ลำดับที่]])</f>
        <v>2</v>
      </c>
      <c r="B5" s="8" t="s">
        <v>50</v>
      </c>
      <c r="C5" s="1" t="s">
        <v>51</v>
      </c>
      <c r="D5" s="1">
        <v>1</v>
      </c>
      <c r="E5" s="9" t="s">
        <v>58</v>
      </c>
    </row>
    <row r="6" spans="1:5" ht="29" customHeight="1">
      <c r="A6" s="7">
        <f>ROW()-ROW(D3d1[[#Headers],[ลำดับที่]])</f>
        <v>3</v>
      </c>
      <c r="B6" s="8" t="s">
        <v>32</v>
      </c>
      <c r="C6" s="1" t="s">
        <v>33</v>
      </c>
      <c r="D6" s="1">
        <v>1</v>
      </c>
      <c r="E6" s="9" t="s">
        <v>34</v>
      </c>
    </row>
    <row r="7" spans="1:5" ht="29" customHeight="1">
      <c r="A7" s="7">
        <f>ROW()-ROW(D3d1[[#Headers],[ลำดับที่]])</f>
        <v>4</v>
      </c>
      <c r="B7" s="8" t="s">
        <v>75</v>
      </c>
      <c r="C7" s="1" t="s">
        <v>33</v>
      </c>
      <c r="D7" s="1">
        <v>1</v>
      </c>
      <c r="E7" s="9" t="s">
        <v>76</v>
      </c>
    </row>
    <row r="8" spans="1:5" ht="29" customHeight="1">
      <c r="A8" s="7">
        <f>ROW()-ROW(D3d1[[#Headers],[ลำดับที่]])</f>
        <v>5</v>
      </c>
      <c r="B8" s="8" t="s">
        <v>59</v>
      </c>
      <c r="C8" s="1" t="s">
        <v>60</v>
      </c>
      <c r="D8" s="1">
        <v>1</v>
      </c>
      <c r="E8" s="9" t="s">
        <v>61</v>
      </c>
    </row>
    <row r="9" spans="1:5" ht="29" customHeight="1">
      <c r="A9" s="7">
        <f>ROW()-ROW(D3d1[[#Headers],[ลำดับที่]])</f>
        <v>6</v>
      </c>
      <c r="B9" s="8" t="s">
        <v>77</v>
      </c>
      <c r="C9" s="1" t="s">
        <v>78</v>
      </c>
      <c r="D9" s="1">
        <v>2</v>
      </c>
      <c r="E9" s="9" t="s">
        <v>79</v>
      </c>
    </row>
    <row r="10" spans="1:5" ht="29" customHeight="1">
      <c r="A10" s="7">
        <f>ROW()-ROW(D3d1[[#Headers],[ลำดับที่]])</f>
        <v>7</v>
      </c>
      <c r="B10" s="8" t="s">
        <v>83</v>
      </c>
      <c r="C10" s="1" t="s">
        <v>84</v>
      </c>
      <c r="D10" s="1">
        <v>2</v>
      </c>
      <c r="E10" s="9" t="s">
        <v>85</v>
      </c>
    </row>
    <row r="11" spans="1:5" ht="29" customHeight="1">
      <c r="A11" s="7">
        <f>ROW()-ROW(D3d1[[#Headers],[ลำดับที่]])</f>
        <v>8</v>
      </c>
      <c r="B11" s="8" t="s">
        <v>41</v>
      </c>
      <c r="C11" s="1" t="s">
        <v>42</v>
      </c>
      <c r="D11" s="1">
        <v>1</v>
      </c>
      <c r="E11" s="9" t="s">
        <v>43</v>
      </c>
    </row>
    <row r="12" spans="1:5" ht="29" customHeight="1">
      <c r="A12" s="7">
        <f>ROW()-ROW(D3d1[[#Headers],[ลำดับที่]])</f>
        <v>9</v>
      </c>
      <c r="B12" s="8" t="s">
        <v>47</v>
      </c>
      <c r="C12" s="1" t="s">
        <v>48</v>
      </c>
      <c r="D12" s="1">
        <v>1</v>
      </c>
      <c r="E12" s="9" t="s">
        <v>49</v>
      </c>
    </row>
    <row r="13" spans="1:5" ht="29" customHeight="1">
      <c r="A13" s="7">
        <f>ROW()-ROW(D3d1[[#Headers],[ลำดับที่]])</f>
        <v>10</v>
      </c>
      <c r="B13" s="8" t="s">
        <v>53</v>
      </c>
      <c r="C13" s="1" t="s">
        <v>48</v>
      </c>
      <c r="D13" s="1">
        <v>1</v>
      </c>
      <c r="E13" s="9" t="s">
        <v>54</v>
      </c>
    </row>
    <row r="14" spans="1:5" ht="29" customHeight="1">
      <c r="A14" s="7">
        <f>ROW()-ROW(D3d1[[#Headers],[ลำดับที่]])</f>
        <v>11</v>
      </c>
      <c r="B14" s="8" t="s">
        <v>44</v>
      </c>
      <c r="C14" s="1" t="s">
        <v>45</v>
      </c>
      <c r="D14" s="1">
        <v>1</v>
      </c>
      <c r="E14" s="9" t="s">
        <v>46</v>
      </c>
    </row>
    <row r="15" spans="1:5" ht="29" customHeight="1">
      <c r="A15" s="7">
        <f>ROW()-ROW(D3d1[[#Headers],[ลำดับที่]])</f>
        <v>12</v>
      </c>
      <c r="B15" s="8" t="s">
        <v>71</v>
      </c>
      <c r="C15" s="1" t="s">
        <v>45</v>
      </c>
      <c r="D15" s="1">
        <v>1</v>
      </c>
      <c r="E15" s="9" t="s">
        <v>72</v>
      </c>
    </row>
    <row r="16" spans="1:5" ht="29" customHeight="1">
      <c r="A16" s="7">
        <f>ROW()-ROW(D3d1[[#Headers],[ลำดับที่]])</f>
        <v>13</v>
      </c>
      <c r="B16" s="8" t="s">
        <v>91</v>
      </c>
      <c r="C16" s="1" t="s">
        <v>92</v>
      </c>
      <c r="D16" s="1">
        <v>1</v>
      </c>
      <c r="E16" s="9" t="s">
        <v>93</v>
      </c>
    </row>
    <row r="17" spans="1:5" ht="29" customHeight="1">
      <c r="A17" s="7">
        <f>ROW()-ROW(D3d1[[#Headers],[ลำดับที่]])</f>
        <v>14</v>
      </c>
      <c r="B17" s="8" t="s">
        <v>29</v>
      </c>
      <c r="C17" s="1" t="s">
        <v>30</v>
      </c>
      <c r="D17" s="1">
        <v>50</v>
      </c>
      <c r="E17" s="9" t="s">
        <v>31</v>
      </c>
    </row>
    <row r="18" spans="1:5" ht="29" customHeight="1">
      <c r="A18" s="7">
        <f>ROW()-ROW(D3d1[[#Headers],[ลำดับที่]])</f>
        <v>15</v>
      </c>
      <c r="B18" s="8" t="s">
        <v>73</v>
      </c>
      <c r="C18" s="1" t="s">
        <v>30</v>
      </c>
      <c r="D18" s="1">
        <v>1</v>
      </c>
      <c r="E18" s="9" t="s">
        <v>74</v>
      </c>
    </row>
    <row r="19" spans="1:5" ht="29" customHeight="1">
      <c r="A19" s="7">
        <f>ROW()-ROW(D3d1[[#Headers],[ลำดับที่]])</f>
        <v>16</v>
      </c>
      <c r="B19" s="8" t="s">
        <v>35</v>
      </c>
      <c r="C19" s="1" t="s">
        <v>36</v>
      </c>
      <c r="D19" s="1">
        <v>1</v>
      </c>
      <c r="E19" s="9" t="s">
        <v>37</v>
      </c>
    </row>
    <row r="20" spans="1:5" ht="29" customHeight="1">
      <c r="A20" s="7">
        <f>ROW()-ROW(D3d1[[#Headers],[ลำดับที่]])</f>
        <v>17</v>
      </c>
      <c r="B20" s="8" t="s">
        <v>67</v>
      </c>
      <c r="C20" s="1" t="s">
        <v>36</v>
      </c>
      <c r="D20" s="1">
        <v>1</v>
      </c>
      <c r="E20" s="9" t="s">
        <v>68</v>
      </c>
    </row>
    <row r="21" spans="1:5" ht="29" customHeight="1">
      <c r="A21" s="7">
        <f>ROW()-ROW(D3d1[[#Headers],[ลำดับที่]])</f>
        <v>18</v>
      </c>
      <c r="B21" s="8" t="s">
        <v>38</v>
      </c>
      <c r="C21" s="1" t="s">
        <v>39</v>
      </c>
      <c r="D21" s="1">
        <v>1</v>
      </c>
      <c r="E21" s="9" t="s">
        <v>40</v>
      </c>
    </row>
    <row r="22" spans="1:5" ht="29" customHeight="1">
      <c r="A22" s="7">
        <f>ROW()-ROW(D3d1[[#Headers],[ลำดับที่]])</f>
        <v>19</v>
      </c>
      <c r="B22" s="8" t="s">
        <v>55</v>
      </c>
      <c r="C22" s="1" t="s">
        <v>56</v>
      </c>
      <c r="D22" s="1">
        <v>1</v>
      </c>
      <c r="E22" s="9" t="s">
        <v>57</v>
      </c>
    </row>
    <row r="23" spans="1:5" ht="29" customHeight="1">
      <c r="A23" s="7">
        <f>ROW()-ROW(D3d1[[#Headers],[ลำดับที่]])</f>
        <v>20</v>
      </c>
      <c r="B23" s="8" t="s">
        <v>62</v>
      </c>
      <c r="C23" s="1" t="s">
        <v>56</v>
      </c>
      <c r="D23" s="1">
        <v>1</v>
      </c>
      <c r="E23" s="9" t="s">
        <v>63</v>
      </c>
    </row>
    <row r="24" spans="1:5" ht="29" customHeight="1">
      <c r="A24" s="7">
        <f>ROW()-ROW(D3d1[[#Headers],[ลำดับที่]])</f>
        <v>21</v>
      </c>
      <c r="B24" s="8" t="s">
        <v>55</v>
      </c>
      <c r="C24" s="1" t="s">
        <v>56</v>
      </c>
      <c r="D24" s="1">
        <v>1</v>
      </c>
      <c r="E24" s="9"/>
    </row>
    <row r="25" spans="1:5" ht="29" customHeight="1">
      <c r="A25" s="7">
        <f>ROW()-ROW(D3d1[[#Headers],[ลำดับที่]])</f>
        <v>22</v>
      </c>
      <c r="B25" s="8" t="s">
        <v>86</v>
      </c>
      <c r="C25" s="1" t="s">
        <v>56</v>
      </c>
      <c r="D25" s="1">
        <v>1</v>
      </c>
      <c r="E25" s="9" t="s">
        <v>87</v>
      </c>
    </row>
    <row r="26" spans="1:5" ht="29" customHeight="1">
      <c r="A26" s="7">
        <f>ROW()-ROW(D3d1[[#Headers],[ลำดับที่]])</f>
        <v>23</v>
      </c>
      <c r="B26" s="8" t="s">
        <v>86</v>
      </c>
      <c r="C26" s="1" t="s">
        <v>56</v>
      </c>
      <c r="D26" s="1">
        <v>2</v>
      </c>
      <c r="E26" s="9" t="s">
        <v>88</v>
      </c>
    </row>
    <row r="27" spans="1:5" ht="29" customHeight="1">
      <c r="A27" s="7">
        <f>ROW()-ROW(D3d1[[#Headers],[ลำดับที่]])</f>
        <v>24</v>
      </c>
      <c r="B27" s="8" t="s">
        <v>89</v>
      </c>
      <c r="C27" s="1" t="s">
        <v>56</v>
      </c>
      <c r="D27" s="1">
        <v>1</v>
      </c>
      <c r="E27" s="9" t="s">
        <v>90</v>
      </c>
    </row>
    <row r="28" spans="1:5" ht="29" customHeight="1">
      <c r="A28" s="7">
        <f>ROW()-ROW(D3d1[[#Headers],[ลำดับที่]])</f>
        <v>25</v>
      </c>
      <c r="B28" s="8" t="s">
        <v>64</v>
      </c>
      <c r="C28" s="1" t="s">
        <v>65</v>
      </c>
      <c r="D28" s="1">
        <v>1</v>
      </c>
      <c r="E28" s="9" t="s">
        <v>66</v>
      </c>
    </row>
    <row r="29" spans="1:5" ht="29" customHeight="1">
      <c r="A29" s="7">
        <f>ROW()-ROW(D3d1[[#Headers],[ลำดับที่]])</f>
        <v>26</v>
      </c>
      <c r="B29" s="8" t="s">
        <v>69</v>
      </c>
      <c r="C29" s="1" t="s">
        <v>65</v>
      </c>
      <c r="D29" s="1">
        <v>1</v>
      </c>
      <c r="E29" s="9" t="s">
        <v>70</v>
      </c>
    </row>
    <row r="30" spans="1:5" ht="29" customHeight="1">
      <c r="A30" s="7">
        <f>ROW()-ROW(D3d1[[#Headers],[ลำดับที่]])</f>
        <v>27</v>
      </c>
      <c r="B30" s="8" t="s">
        <v>80</v>
      </c>
      <c r="C30" s="1" t="s">
        <v>81</v>
      </c>
      <c r="D30" s="1">
        <v>3</v>
      </c>
      <c r="E30" s="9" t="s">
        <v>82</v>
      </c>
    </row>
    <row r="31" spans="1:5" ht="29" customHeight="1">
      <c r="C31" s="10" t="s">
        <v>8</v>
      </c>
      <c r="D31" s="11">
        <f>SUM(D4:D30)</f>
        <v>81</v>
      </c>
    </row>
    <row r="32" spans="1:5" ht="29" customHeight="1"/>
    <row r="33" ht="29" customHeight="1"/>
    <row r="34" ht="29" customHeight="1"/>
    <row r="35" ht="29" customHeight="1"/>
    <row r="36" ht="29" customHeight="1"/>
    <row r="37" ht="29" customHeight="1"/>
    <row r="38" ht="29" customHeight="1"/>
    <row r="39" ht="29" customHeight="1"/>
    <row r="40" ht="29" customHeight="1"/>
    <row r="41" ht="29" customHeight="1"/>
    <row r="42" ht="29" customHeight="1"/>
    <row r="43" ht="29" customHeight="1"/>
    <row r="44" ht="29" customHeight="1"/>
    <row r="45" ht="29" customHeight="1"/>
    <row r="46" ht="29" customHeight="1"/>
    <row r="47" ht="29" customHeight="1"/>
    <row r="48" ht="29" customHeight="1"/>
    <row r="49" ht="29" customHeight="1"/>
    <row r="50" ht="29" customHeight="1"/>
    <row r="51" ht="29" customHeight="1"/>
    <row r="52" ht="29" customHeight="1"/>
    <row r="53" ht="29" customHeight="1"/>
    <row r="54" ht="29" customHeight="1"/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9"/>
  <sheetViews>
    <sheetView workbookViewId="0">
      <selection activeCell="C3" sqref="C3"/>
    </sheetView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3" t="s">
        <v>0</v>
      </c>
      <c r="B1" s="14"/>
      <c r="C1" s="14"/>
      <c r="D1" s="14"/>
      <c r="E1" s="14"/>
    </row>
    <row r="2" spans="1:5" ht="29" customHeight="1">
      <c r="A2" s="2" t="s">
        <v>1</v>
      </c>
      <c r="B2" s="3" t="s">
        <v>9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ROW()-ROW(D3d3[[#Headers],[ลำดับที่]])</f>
        <v>1</v>
      </c>
      <c r="B4" s="8" t="s">
        <v>144</v>
      </c>
      <c r="C4" s="1" t="s">
        <v>51</v>
      </c>
      <c r="D4" s="1">
        <v>1</v>
      </c>
      <c r="E4" s="9" t="s">
        <v>145</v>
      </c>
    </row>
    <row r="5" spans="1:5" ht="29" customHeight="1">
      <c r="A5" s="7">
        <f>ROW()-ROW(D3d3[[#Headers],[ลำดับที่]])</f>
        <v>2</v>
      </c>
      <c r="B5" s="8" t="s">
        <v>160</v>
      </c>
      <c r="C5" s="1" t="s">
        <v>51</v>
      </c>
      <c r="D5" s="1">
        <v>1</v>
      </c>
      <c r="E5" s="9" t="s">
        <v>161</v>
      </c>
    </row>
    <row r="6" spans="1:5" ht="29" customHeight="1">
      <c r="A6" s="7">
        <f>ROW()-ROW(D3d3[[#Headers],[ลำดับที่]])</f>
        <v>3</v>
      </c>
      <c r="B6" s="8" t="s">
        <v>165</v>
      </c>
      <c r="C6" s="1" t="s">
        <v>51</v>
      </c>
      <c r="D6" s="1">
        <v>1</v>
      </c>
      <c r="E6" s="9" t="s">
        <v>166</v>
      </c>
    </row>
    <row r="7" spans="1:5" ht="29" customHeight="1">
      <c r="A7" s="7">
        <f>ROW()-ROW(D3d3[[#Headers],[ลำดับที่]])</f>
        <v>4</v>
      </c>
      <c r="B7" s="8" t="s">
        <v>115</v>
      </c>
      <c r="C7" s="1" t="s">
        <v>33</v>
      </c>
      <c r="D7" s="1">
        <v>1</v>
      </c>
      <c r="E7" s="9" t="s">
        <v>116</v>
      </c>
    </row>
    <row r="8" spans="1:5" ht="29" customHeight="1">
      <c r="A8" s="7">
        <f>ROW()-ROW(D3d3[[#Headers],[ลำดับที่]])</f>
        <v>5</v>
      </c>
      <c r="B8" s="8" t="s">
        <v>132</v>
      </c>
      <c r="C8" s="1" t="s">
        <v>33</v>
      </c>
      <c r="D8" s="1">
        <v>1</v>
      </c>
      <c r="E8" s="9" t="s">
        <v>133</v>
      </c>
    </row>
    <row r="9" spans="1:5" ht="29" customHeight="1">
      <c r="A9" s="7">
        <f>ROW()-ROW(D3d3[[#Headers],[ลำดับที่]])</f>
        <v>6</v>
      </c>
      <c r="B9" s="8" t="s">
        <v>134</v>
      </c>
      <c r="C9" s="1" t="s">
        <v>33</v>
      </c>
      <c r="D9" s="1">
        <v>1</v>
      </c>
      <c r="E9" s="9" t="s">
        <v>135</v>
      </c>
    </row>
    <row r="10" spans="1:5" ht="29" customHeight="1">
      <c r="A10" s="7">
        <f>ROW()-ROW(D3d3[[#Headers],[ลำดับที่]])</f>
        <v>7</v>
      </c>
      <c r="B10" s="8" t="s">
        <v>140</v>
      </c>
      <c r="C10" s="1" t="s">
        <v>33</v>
      </c>
      <c r="D10" s="1">
        <v>1</v>
      </c>
      <c r="E10" s="9" t="s">
        <v>141</v>
      </c>
    </row>
    <row r="11" spans="1:5" ht="29" customHeight="1">
      <c r="A11" s="7">
        <f>ROW()-ROW(D3d3[[#Headers],[ลำดับที่]])</f>
        <v>8</v>
      </c>
      <c r="B11" s="8" t="s">
        <v>152</v>
      </c>
      <c r="C11" s="1" t="s">
        <v>33</v>
      </c>
      <c r="D11" s="1">
        <v>1</v>
      </c>
      <c r="E11" s="9" t="s">
        <v>153</v>
      </c>
    </row>
    <row r="12" spans="1:5" ht="29" customHeight="1">
      <c r="A12" s="7">
        <f>ROW()-ROW(D3d3[[#Headers],[ลำดับที่]])</f>
        <v>9</v>
      </c>
      <c r="B12" s="8" t="s">
        <v>171</v>
      </c>
      <c r="C12" s="1" t="s">
        <v>172</v>
      </c>
      <c r="D12" s="1">
        <v>1</v>
      </c>
      <c r="E12" s="9" t="s">
        <v>173</v>
      </c>
    </row>
    <row r="13" spans="1:5" ht="29" customHeight="1">
      <c r="A13" s="7">
        <f>ROW()-ROW(D3d3[[#Headers],[ลำดับที่]])</f>
        <v>10</v>
      </c>
      <c r="B13" s="8" t="s">
        <v>107</v>
      </c>
      <c r="C13" s="1" t="s">
        <v>78</v>
      </c>
      <c r="D13" s="1">
        <v>3</v>
      </c>
      <c r="E13" s="9" t="s">
        <v>108</v>
      </c>
    </row>
    <row r="14" spans="1:5" ht="29" customHeight="1">
      <c r="A14" s="7">
        <f>ROW()-ROW(D3d3[[#Headers],[ลำดับที่]])</f>
        <v>11</v>
      </c>
      <c r="B14" s="8" t="s">
        <v>122</v>
      </c>
      <c r="C14" s="1" t="s">
        <v>78</v>
      </c>
      <c r="D14" s="1">
        <v>3</v>
      </c>
      <c r="E14" s="9" t="s">
        <v>123</v>
      </c>
    </row>
    <row r="15" spans="1:5" ht="29" customHeight="1">
      <c r="A15" s="7">
        <f>ROW()-ROW(D3d3[[#Headers],[ลำดับที่]])</f>
        <v>12</v>
      </c>
      <c r="B15" s="8" t="s">
        <v>83</v>
      </c>
      <c r="C15" s="1" t="s">
        <v>84</v>
      </c>
      <c r="D15" s="1">
        <v>2</v>
      </c>
      <c r="E15" s="9" t="s">
        <v>104</v>
      </c>
    </row>
    <row r="16" spans="1:5" ht="29" customHeight="1">
      <c r="A16" s="7">
        <f>ROW()-ROW(D3d3[[#Headers],[ลำดับที่]])</f>
        <v>13</v>
      </c>
      <c r="B16" s="8" t="s">
        <v>83</v>
      </c>
      <c r="C16" s="1" t="s">
        <v>84</v>
      </c>
      <c r="D16" s="1">
        <v>1</v>
      </c>
      <c r="E16" s="9" t="s">
        <v>106</v>
      </c>
    </row>
    <row r="17" spans="1:5" ht="29" customHeight="1">
      <c r="A17" s="7">
        <f>ROW()-ROW(D3d3[[#Headers],[ลำดับที่]])</f>
        <v>14</v>
      </c>
      <c r="B17" s="8" t="s">
        <v>126</v>
      </c>
      <c r="C17" s="1" t="s">
        <v>84</v>
      </c>
      <c r="D17" s="1">
        <v>1</v>
      </c>
      <c r="E17" s="9" t="s">
        <v>127</v>
      </c>
    </row>
    <row r="18" spans="1:5" ht="29" customHeight="1">
      <c r="A18" s="7">
        <f>ROW()-ROW(D3d3[[#Headers],[ลำดับที่]])</f>
        <v>15</v>
      </c>
      <c r="B18" s="8" t="s">
        <v>148</v>
      </c>
      <c r="C18" s="1" t="s">
        <v>84</v>
      </c>
      <c r="D18" s="1">
        <v>1</v>
      </c>
      <c r="E18" s="9" t="s">
        <v>149</v>
      </c>
    </row>
    <row r="19" spans="1:5" ht="29" customHeight="1">
      <c r="A19" s="7">
        <f>ROW()-ROW(D3d3[[#Headers],[ลำดับที่]])</f>
        <v>16</v>
      </c>
      <c r="B19" s="8" t="s">
        <v>150</v>
      </c>
      <c r="C19" s="1" t="s">
        <v>84</v>
      </c>
      <c r="D19" s="1">
        <v>1</v>
      </c>
      <c r="E19" s="9" t="s">
        <v>151</v>
      </c>
    </row>
    <row r="20" spans="1:5" ht="29" customHeight="1">
      <c r="A20" s="7">
        <f>ROW()-ROW(D3d3[[#Headers],[ลำดับที่]])</f>
        <v>17</v>
      </c>
      <c r="B20" s="8" t="s">
        <v>41</v>
      </c>
      <c r="C20" s="1" t="s">
        <v>42</v>
      </c>
      <c r="D20" s="1">
        <v>2</v>
      </c>
      <c r="E20" s="9" t="s">
        <v>105</v>
      </c>
    </row>
    <row r="21" spans="1:5" ht="29" customHeight="1">
      <c r="A21" s="7">
        <f>ROW()-ROW(D3d3[[#Headers],[ลำดับที่]])</f>
        <v>18</v>
      </c>
      <c r="B21" s="8" t="s">
        <v>128</v>
      </c>
      <c r="C21" s="1" t="s">
        <v>42</v>
      </c>
      <c r="D21" s="1">
        <v>1</v>
      </c>
      <c r="E21" s="9" t="s">
        <v>129</v>
      </c>
    </row>
    <row r="22" spans="1:5" ht="29" customHeight="1">
      <c r="A22" s="7">
        <f>ROW()-ROW(D3d3[[#Headers],[ลำดับที่]])</f>
        <v>19</v>
      </c>
      <c r="B22" s="8" t="s">
        <v>162</v>
      </c>
      <c r="C22" s="1" t="s">
        <v>42</v>
      </c>
      <c r="D22" s="1">
        <v>1</v>
      </c>
      <c r="E22" s="9" t="s">
        <v>163</v>
      </c>
    </row>
    <row r="23" spans="1:5" ht="29" customHeight="1">
      <c r="A23" s="7">
        <f>ROW()-ROW(D3d3[[#Headers],[ลำดับที่]])</f>
        <v>20</v>
      </c>
      <c r="B23" s="8" t="s">
        <v>136</v>
      </c>
      <c r="C23" s="1" t="s">
        <v>45</v>
      </c>
      <c r="D23" s="1">
        <v>1</v>
      </c>
      <c r="E23" s="9" t="s">
        <v>137</v>
      </c>
    </row>
    <row r="24" spans="1:5" ht="29" customHeight="1">
      <c r="A24" s="7">
        <f>ROW()-ROW(D3d3[[#Headers],[ลำดับที่]])</f>
        <v>21</v>
      </c>
      <c r="B24" s="8" t="s">
        <v>119</v>
      </c>
      <c r="C24" s="1" t="s">
        <v>120</v>
      </c>
      <c r="D24" s="1">
        <v>1</v>
      </c>
      <c r="E24" s="9" t="s">
        <v>121</v>
      </c>
    </row>
    <row r="25" spans="1:5" ht="29" customHeight="1">
      <c r="A25" s="7">
        <f>ROW()-ROW(D3d3[[#Headers],[ลำดับที่]])</f>
        <v>22</v>
      </c>
      <c r="B25" s="8" t="s">
        <v>142</v>
      </c>
      <c r="C25" s="1" t="s">
        <v>120</v>
      </c>
      <c r="D25" s="1">
        <v>1</v>
      </c>
      <c r="E25" s="9" t="s">
        <v>143</v>
      </c>
    </row>
    <row r="26" spans="1:5" ht="29" customHeight="1">
      <c r="A26" s="7">
        <f>ROW()-ROW(D3d3[[#Headers],[ลำดับที่]])</f>
        <v>23</v>
      </c>
      <c r="B26" s="8" t="s">
        <v>146</v>
      </c>
      <c r="C26" s="1" t="s">
        <v>120</v>
      </c>
      <c r="D26" s="1">
        <v>1</v>
      </c>
      <c r="E26" s="9" t="s">
        <v>147</v>
      </c>
    </row>
    <row r="27" spans="1:5" ht="29" customHeight="1">
      <c r="A27" s="7">
        <f>ROW()-ROW(D3d3[[#Headers],[ลำดับที่]])</f>
        <v>24</v>
      </c>
      <c r="B27" s="8" t="s">
        <v>167</v>
      </c>
      <c r="C27" s="1" t="s">
        <v>120</v>
      </c>
      <c r="D27" s="1">
        <v>1</v>
      </c>
      <c r="E27" s="9" t="s">
        <v>168</v>
      </c>
    </row>
    <row r="28" spans="1:5" ht="29" customHeight="1">
      <c r="A28" s="7">
        <f>ROW()-ROW(D3d3[[#Headers],[ลำดับที่]])</f>
        <v>25</v>
      </c>
      <c r="B28" s="8" t="s">
        <v>174</v>
      </c>
      <c r="C28" s="1" t="s">
        <v>175</v>
      </c>
      <c r="D28" s="1">
        <v>1</v>
      </c>
      <c r="E28" s="9" t="s">
        <v>176</v>
      </c>
    </row>
    <row r="29" spans="1:5" ht="29" customHeight="1">
      <c r="A29" s="7">
        <f>ROW()-ROW(D3d3[[#Headers],[ลำดับที่]])</f>
        <v>26</v>
      </c>
      <c r="B29" s="8" t="s">
        <v>109</v>
      </c>
      <c r="C29" s="1" t="s">
        <v>36</v>
      </c>
      <c r="D29" s="1">
        <v>7</v>
      </c>
      <c r="E29" s="9" t="s">
        <v>110</v>
      </c>
    </row>
    <row r="30" spans="1:5" ht="29" customHeight="1">
      <c r="A30" s="7">
        <f>ROW()-ROW(D3d3[[#Headers],[ลำดับที่]])</f>
        <v>27</v>
      </c>
      <c r="B30" s="8" t="s">
        <v>158</v>
      </c>
      <c r="C30" s="1" t="s">
        <v>36</v>
      </c>
      <c r="D30" s="1">
        <v>1</v>
      </c>
      <c r="E30" s="9" t="s">
        <v>159</v>
      </c>
    </row>
    <row r="31" spans="1:5" ht="29" customHeight="1">
      <c r="A31" s="7">
        <f>ROW()-ROW(D3d3[[#Headers],[ลำดับที่]])</f>
        <v>28</v>
      </c>
      <c r="B31" s="8" t="s">
        <v>97</v>
      </c>
      <c r="C31" s="1" t="s">
        <v>39</v>
      </c>
      <c r="D31" s="1">
        <v>1</v>
      </c>
      <c r="E31" s="9" t="s">
        <v>98</v>
      </c>
    </row>
    <row r="32" spans="1:5" ht="29" customHeight="1">
      <c r="A32" s="7">
        <f>ROW()-ROW(D3d3[[#Headers],[ลำดับที่]])</f>
        <v>29</v>
      </c>
      <c r="B32" s="8" t="s">
        <v>111</v>
      </c>
      <c r="C32" s="1" t="s">
        <v>39</v>
      </c>
      <c r="D32" s="1">
        <v>2</v>
      </c>
      <c r="E32" s="9" t="s">
        <v>112</v>
      </c>
    </row>
    <row r="33" spans="1:5" ht="29" customHeight="1">
      <c r="A33" s="7">
        <f>ROW()-ROW(D3d3[[#Headers],[ลำดับที่]])</f>
        <v>30</v>
      </c>
      <c r="B33" s="8" t="s">
        <v>154</v>
      </c>
      <c r="C33" s="1" t="s">
        <v>39</v>
      </c>
      <c r="D33" s="1">
        <v>1</v>
      </c>
      <c r="E33" s="9" t="s">
        <v>155</v>
      </c>
    </row>
    <row r="34" spans="1:5" ht="29" customHeight="1">
      <c r="A34" s="7">
        <f>ROW()-ROW(D3d3[[#Headers],[ลำดับที่]])</f>
        <v>31</v>
      </c>
      <c r="B34" s="8" t="s">
        <v>94</v>
      </c>
      <c r="C34" s="1" t="s">
        <v>56</v>
      </c>
      <c r="D34" s="1">
        <v>1</v>
      </c>
      <c r="E34" s="9" t="s">
        <v>95</v>
      </c>
    </row>
    <row r="35" spans="1:5" ht="29" customHeight="1">
      <c r="A35" s="7">
        <f>ROW()-ROW(D3d3[[#Headers],[ลำดับที่]])</f>
        <v>32</v>
      </c>
      <c r="B35" s="8" t="s">
        <v>62</v>
      </c>
      <c r="C35" s="1" t="s">
        <v>56</v>
      </c>
      <c r="D35" s="1">
        <v>1</v>
      </c>
      <c r="E35" s="9" t="s">
        <v>96</v>
      </c>
    </row>
    <row r="36" spans="1:5" ht="29" customHeight="1">
      <c r="A36" s="7">
        <f>ROW()-ROW(D3d3[[#Headers],[ลำดับที่]])</f>
        <v>33</v>
      </c>
      <c r="B36" s="8" t="s">
        <v>99</v>
      </c>
      <c r="C36" s="1" t="s">
        <v>56</v>
      </c>
      <c r="D36" s="1">
        <v>1</v>
      </c>
      <c r="E36" s="9" t="s">
        <v>100</v>
      </c>
    </row>
    <row r="37" spans="1:5" ht="29" customHeight="1">
      <c r="A37" s="7">
        <f>ROW()-ROW(D3d3[[#Headers],[ลำดับที่]])</f>
        <v>34</v>
      </c>
      <c r="B37" s="8" t="s">
        <v>113</v>
      </c>
      <c r="C37" s="1" t="s">
        <v>56</v>
      </c>
      <c r="D37" s="1">
        <v>1</v>
      </c>
      <c r="E37" s="9" t="s">
        <v>114</v>
      </c>
    </row>
    <row r="38" spans="1:5" ht="29" customHeight="1">
      <c r="A38" s="7">
        <f>ROW()-ROW(D3d3[[#Headers],[ลำดับที่]])</f>
        <v>35</v>
      </c>
      <c r="B38" s="8" t="s">
        <v>124</v>
      </c>
      <c r="C38" s="1" t="s">
        <v>56</v>
      </c>
      <c r="D38" s="1">
        <v>1</v>
      </c>
      <c r="E38" s="9" t="s">
        <v>125</v>
      </c>
    </row>
    <row r="39" spans="1:5" ht="29" customHeight="1">
      <c r="A39" s="7">
        <f>ROW()-ROW(D3d3[[#Headers],[ลำดับที่]])</f>
        <v>36</v>
      </c>
      <c r="B39" s="8" t="s">
        <v>138</v>
      </c>
      <c r="C39" s="1" t="s">
        <v>56</v>
      </c>
      <c r="D39" s="1">
        <v>1</v>
      </c>
      <c r="E39" s="9" t="s">
        <v>139</v>
      </c>
    </row>
    <row r="40" spans="1:5" ht="29" customHeight="1">
      <c r="A40" s="7">
        <f>ROW()-ROW(D3d3[[#Headers],[ลำดับที่]])</f>
        <v>37</v>
      </c>
      <c r="B40" s="8" t="s">
        <v>169</v>
      </c>
      <c r="C40" s="1" t="s">
        <v>56</v>
      </c>
      <c r="D40" s="1">
        <v>1</v>
      </c>
      <c r="E40" s="9" t="s">
        <v>170</v>
      </c>
    </row>
    <row r="41" spans="1:5" ht="29" customHeight="1">
      <c r="A41" s="7">
        <f>ROW()-ROW(D3d3[[#Headers],[ลำดับที่]])</f>
        <v>38</v>
      </c>
      <c r="B41" s="8" t="s">
        <v>177</v>
      </c>
      <c r="C41" s="1" t="s">
        <v>56</v>
      </c>
      <c r="D41" s="1">
        <v>1</v>
      </c>
      <c r="E41" s="9" t="s">
        <v>178</v>
      </c>
    </row>
    <row r="42" spans="1:5" ht="29" customHeight="1">
      <c r="A42" s="7">
        <f>ROW()-ROW(D3d3[[#Headers],[ลำดับที่]])</f>
        <v>39</v>
      </c>
      <c r="B42" s="8" t="s">
        <v>179</v>
      </c>
      <c r="C42" s="1" t="s">
        <v>56</v>
      </c>
      <c r="D42" s="1">
        <v>1</v>
      </c>
      <c r="E42" s="9" t="s">
        <v>180</v>
      </c>
    </row>
    <row r="43" spans="1:5" ht="29" customHeight="1">
      <c r="A43" s="7">
        <f>ROW()-ROW(D3d3[[#Headers],[ลำดับที่]])</f>
        <v>40</v>
      </c>
      <c r="B43" s="8" t="s">
        <v>130</v>
      </c>
      <c r="C43" s="1" t="s">
        <v>65</v>
      </c>
      <c r="D43" s="1">
        <v>1</v>
      </c>
      <c r="E43" s="9" t="s">
        <v>131</v>
      </c>
    </row>
    <row r="44" spans="1:5" ht="29" customHeight="1">
      <c r="A44" s="7">
        <f>ROW()-ROW(D3d3[[#Headers],[ลำดับที่]])</f>
        <v>41</v>
      </c>
      <c r="B44" s="8" t="s">
        <v>181</v>
      </c>
      <c r="C44" s="1" t="s">
        <v>65</v>
      </c>
      <c r="D44" s="1">
        <v>7</v>
      </c>
      <c r="E44" s="9" t="s">
        <v>182</v>
      </c>
    </row>
    <row r="45" spans="1:5" ht="29" customHeight="1">
      <c r="A45" s="7">
        <f>ROW()-ROW(D3d3[[#Headers],[ลำดับที่]])</f>
        <v>42</v>
      </c>
      <c r="B45" s="8" t="s">
        <v>117</v>
      </c>
      <c r="C45" s="1" t="s">
        <v>81</v>
      </c>
      <c r="D45" s="1">
        <v>1</v>
      </c>
      <c r="E45" s="9" t="s">
        <v>118</v>
      </c>
    </row>
    <row r="46" spans="1:5" ht="29" customHeight="1">
      <c r="A46" s="7">
        <f>ROW()-ROW(D3d3[[#Headers],[ลำดับที่]])</f>
        <v>43</v>
      </c>
      <c r="B46" s="8" t="s">
        <v>156</v>
      </c>
      <c r="C46" s="1" t="s">
        <v>81</v>
      </c>
      <c r="D46" s="1">
        <v>2</v>
      </c>
      <c r="E46" s="9" t="s">
        <v>157</v>
      </c>
    </row>
    <row r="47" spans="1:5" ht="29" customHeight="1">
      <c r="A47" s="7">
        <f>ROW()-ROW(D3d3[[#Headers],[ลำดับที่]])</f>
        <v>44</v>
      </c>
      <c r="B47" s="8" t="s">
        <v>80</v>
      </c>
      <c r="C47" s="1" t="s">
        <v>81</v>
      </c>
      <c r="D47" s="1">
        <v>1</v>
      </c>
      <c r="E47" s="9" t="s">
        <v>164</v>
      </c>
    </row>
    <row r="48" spans="1:5" ht="29" customHeight="1">
      <c r="A48" s="7">
        <f>ROW()-ROW(D3d3[[#Headers],[ลำดับที่]])</f>
        <v>45</v>
      </c>
      <c r="B48" s="8" t="s">
        <v>101</v>
      </c>
      <c r="C48" s="1" t="s">
        <v>102</v>
      </c>
      <c r="D48" s="1">
        <v>2</v>
      </c>
      <c r="E48" s="9" t="s">
        <v>103</v>
      </c>
    </row>
    <row r="49" spans="3:4" ht="29" customHeight="1">
      <c r="C49" s="10" t="s">
        <v>8</v>
      </c>
      <c r="D49" s="12">
        <f>SUM(D4:D48)</f>
        <v>66</v>
      </c>
    </row>
    <row r="50" spans="3:4" ht="29" customHeight="1"/>
    <row r="51" spans="3:4" ht="29" customHeight="1"/>
    <row r="52" spans="3:4" ht="29" customHeight="1"/>
    <row r="53" spans="3:4" ht="27" customHeight="1"/>
    <row r="54" spans="3:4" ht="31" customHeight="1"/>
    <row r="55" spans="3:4" ht="31" customHeight="1"/>
    <row r="56" spans="3:4" ht="31" customHeight="1"/>
    <row r="57" spans="3:4" ht="31" customHeight="1"/>
    <row r="58" spans="3:4" ht="31" customHeight="1"/>
    <row r="59" spans="3:4" ht="31" customHeight="1"/>
    <row r="60" spans="3:4" ht="31" customHeight="1"/>
    <row r="61" spans="3:4" ht="31" customHeight="1"/>
    <row r="62" spans="3:4" ht="31" customHeight="1"/>
    <row r="63" spans="3:4" ht="31" customHeight="1"/>
    <row r="64" spans="3:4" ht="31" customHeight="1"/>
    <row r="65" ht="31" customHeight="1"/>
    <row r="66" ht="31" customHeight="1"/>
    <row r="67" ht="31" customHeight="1"/>
    <row r="68" ht="31" customHeight="1"/>
    <row r="69" ht="31" customHeight="1"/>
    <row r="70" ht="31" customHeight="1"/>
    <row r="71" ht="31" customHeight="1"/>
    <row r="72" ht="31" customHeight="1"/>
    <row r="73" ht="31" customHeight="1"/>
    <row r="74" ht="31" customHeight="1"/>
    <row r="75" ht="31" customHeight="1"/>
    <row r="76" ht="31" customHeight="1"/>
    <row r="77" ht="31" customHeight="1"/>
    <row r="78" ht="31" customHeight="1"/>
    <row r="79" ht="31" customHeight="1"/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4"/>
  <sheetViews>
    <sheetView workbookViewId="0">
      <selection activeCell="C11" sqref="C11"/>
    </sheetView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6.33203125" customWidth="1"/>
    <col min="6" max="6" width="7.5" customWidth="1"/>
  </cols>
  <sheetData>
    <row r="1" spans="1:5" ht="29" customHeight="1">
      <c r="A1" s="13" t="s">
        <v>0</v>
      </c>
      <c r="B1" s="14"/>
      <c r="C1" s="14"/>
      <c r="D1" s="14"/>
      <c r="E1" s="14"/>
    </row>
    <row r="2" spans="1:5" ht="29" customHeight="1">
      <c r="A2" s="2" t="s">
        <v>1</v>
      </c>
      <c r="B2" s="3" t="s">
        <v>10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ROW()-ROW(D3d4[[#Headers],[ลำดับที่]])</f>
        <v>1</v>
      </c>
      <c r="B4" s="8" t="s">
        <v>204</v>
      </c>
      <c r="C4" s="1" t="s">
        <v>33</v>
      </c>
      <c r="D4" s="1">
        <v>1</v>
      </c>
      <c r="E4" s="9" t="s">
        <v>205</v>
      </c>
    </row>
    <row r="5" spans="1:5" ht="29" customHeight="1">
      <c r="A5" s="7">
        <f>ROW()-ROW(D3d4[[#Headers],[ลำดับที่]])</f>
        <v>2</v>
      </c>
      <c r="B5" s="8" t="s">
        <v>198</v>
      </c>
      <c r="C5" s="1" t="s">
        <v>78</v>
      </c>
      <c r="D5" s="1">
        <v>1</v>
      </c>
      <c r="E5" s="9" t="s">
        <v>199</v>
      </c>
    </row>
    <row r="6" spans="1:5" ht="29" customHeight="1">
      <c r="A6" s="7">
        <f>ROW()-ROW(D3d4[[#Headers],[ลำดับที่]])</f>
        <v>3</v>
      </c>
      <c r="B6" s="8" t="s">
        <v>185</v>
      </c>
      <c r="C6" s="1" t="s">
        <v>84</v>
      </c>
      <c r="D6" s="1">
        <v>29</v>
      </c>
      <c r="E6" s="9" t="s">
        <v>186</v>
      </c>
    </row>
    <row r="7" spans="1:5" ht="29" customHeight="1">
      <c r="A7" s="7">
        <f>ROW()-ROW(D3d4[[#Headers],[ลำดับที่]])</f>
        <v>4</v>
      </c>
      <c r="B7" s="8" t="s">
        <v>187</v>
      </c>
      <c r="C7" s="1" t="s">
        <v>84</v>
      </c>
      <c r="D7" s="1">
        <v>22</v>
      </c>
      <c r="E7" s="9" t="s">
        <v>188</v>
      </c>
    </row>
    <row r="8" spans="1:5" ht="29" customHeight="1">
      <c r="A8" s="7">
        <f>ROW()-ROW(D3d4[[#Headers],[ลำดับที่]])</f>
        <v>5</v>
      </c>
      <c r="B8" s="8" t="s">
        <v>202</v>
      </c>
      <c r="C8" s="1" t="s">
        <v>84</v>
      </c>
      <c r="D8" s="1">
        <v>3</v>
      </c>
      <c r="E8" s="9" t="s">
        <v>203</v>
      </c>
    </row>
    <row r="9" spans="1:5" ht="29" customHeight="1">
      <c r="A9" s="7">
        <f>ROW()-ROW(D3d4[[#Headers],[ลำดับที่]])</f>
        <v>6</v>
      </c>
      <c r="B9" s="8" t="s">
        <v>206</v>
      </c>
      <c r="C9" s="1" t="s">
        <v>42</v>
      </c>
      <c r="D9" s="1">
        <v>1</v>
      </c>
      <c r="E9" s="9" t="s">
        <v>207</v>
      </c>
    </row>
    <row r="10" spans="1:5" ht="29" customHeight="1">
      <c r="A10" s="7">
        <f>ROW()-ROW(D3d4[[#Headers],[ลำดับที่]])</f>
        <v>7</v>
      </c>
      <c r="B10" s="8" t="s">
        <v>183</v>
      </c>
      <c r="C10" s="1" t="s">
        <v>120</v>
      </c>
      <c r="D10" s="1">
        <v>2</v>
      </c>
      <c r="E10" s="9" t="s">
        <v>184</v>
      </c>
    </row>
    <row r="11" spans="1:5" ht="29" customHeight="1">
      <c r="A11" s="7">
        <f>ROW()-ROW(D3d4[[#Headers],[ลำดับที่]])</f>
        <v>8</v>
      </c>
      <c r="B11" s="8" t="s">
        <v>191</v>
      </c>
      <c r="C11" s="1" t="s">
        <v>120</v>
      </c>
      <c r="D11" s="1">
        <v>4</v>
      </c>
      <c r="E11" s="9" t="s">
        <v>192</v>
      </c>
    </row>
    <row r="12" spans="1:5" ht="29" customHeight="1">
      <c r="A12" s="7">
        <f>ROW()-ROW(D3d4[[#Headers],[ลำดับที่]])</f>
        <v>9</v>
      </c>
      <c r="B12" s="8" t="s">
        <v>189</v>
      </c>
      <c r="C12" s="1" t="s">
        <v>56</v>
      </c>
      <c r="D12" s="1">
        <v>1</v>
      </c>
      <c r="E12" s="9" t="s">
        <v>190</v>
      </c>
    </row>
    <row r="13" spans="1:5" ht="29" customHeight="1">
      <c r="A13" s="7">
        <f>ROW()-ROW(D3d4[[#Headers],[ลำดับที่]])</f>
        <v>10</v>
      </c>
      <c r="B13" s="8" t="s">
        <v>193</v>
      </c>
      <c r="C13" s="1" t="s">
        <v>56</v>
      </c>
      <c r="D13" s="1">
        <v>2</v>
      </c>
      <c r="E13" s="9" t="s">
        <v>194</v>
      </c>
    </row>
    <row r="14" spans="1:5" ht="29" customHeight="1">
      <c r="A14" s="7">
        <f>ROW()-ROW(D3d4[[#Headers],[ลำดับที่]])</f>
        <v>11</v>
      </c>
      <c r="B14" s="8" t="s">
        <v>55</v>
      </c>
      <c r="C14" s="1" t="s">
        <v>56</v>
      </c>
      <c r="D14" s="1">
        <v>8</v>
      </c>
      <c r="E14" s="9" t="s">
        <v>197</v>
      </c>
    </row>
    <row r="15" spans="1:5" ht="29" customHeight="1">
      <c r="A15" s="7">
        <f>ROW()-ROW(D3d4[[#Headers],[ลำดับที่]])</f>
        <v>12</v>
      </c>
      <c r="B15" s="8" t="s">
        <v>200</v>
      </c>
      <c r="C15" s="1" t="s">
        <v>56</v>
      </c>
      <c r="D15" s="1">
        <v>1</v>
      </c>
      <c r="E15" s="9" t="s">
        <v>201</v>
      </c>
    </row>
    <row r="16" spans="1:5" ht="29" customHeight="1">
      <c r="A16" s="7">
        <f>ROW()-ROW(D3d4[[#Headers],[ลำดับที่]])</f>
        <v>13</v>
      </c>
      <c r="B16" s="8" t="s">
        <v>195</v>
      </c>
      <c r="C16" s="1" t="s">
        <v>65</v>
      </c>
      <c r="D16" s="1">
        <v>1</v>
      </c>
      <c r="E16" s="9" t="s">
        <v>196</v>
      </c>
    </row>
    <row r="17" spans="3:4" ht="29" customHeight="1">
      <c r="C17" s="10" t="s">
        <v>8</v>
      </c>
      <c r="D17" s="11">
        <f>SUM(D4:D16)</f>
        <v>76</v>
      </c>
    </row>
    <row r="18" spans="3:4" ht="29" customHeight="1"/>
    <row r="19" spans="3:4" ht="29" customHeight="1"/>
    <row r="20" spans="3:4" ht="29" customHeight="1"/>
    <row r="21" spans="3:4" ht="29" customHeight="1"/>
    <row r="22" spans="3:4" ht="29" customHeight="1"/>
    <row r="23" spans="3:4" ht="29" customHeight="1"/>
    <row r="24" spans="3:4" ht="29" customHeight="1"/>
    <row r="25" spans="3:4" ht="29" customHeight="1"/>
    <row r="26" spans="3:4" ht="29" customHeight="1"/>
    <row r="27" spans="3:4" ht="29" customHeight="1"/>
    <row r="28" spans="3:4" ht="29" customHeight="1"/>
    <row r="29" spans="3:4" ht="29" customHeight="1"/>
    <row r="30" spans="3:4" ht="29" customHeight="1"/>
    <row r="31" spans="3:4" ht="29" customHeight="1"/>
    <row r="32" spans="3:4" ht="29" customHeight="1"/>
    <row r="33" ht="29" customHeight="1"/>
    <row r="34" ht="29" customHeight="1"/>
    <row r="35" ht="29" customHeight="1"/>
    <row r="36" ht="29" customHeight="1"/>
    <row r="37" ht="29" customHeight="1"/>
    <row r="38" ht="29" customHeight="1"/>
    <row r="39" ht="29" customHeight="1"/>
    <row r="40" ht="29" customHeight="1"/>
    <row r="41" ht="29" customHeight="1"/>
    <row r="42" ht="29" customHeight="1"/>
    <row r="43" ht="29" customHeight="1"/>
    <row r="44" ht="29" customHeight="1"/>
    <row r="45" ht="29" customHeight="1"/>
    <row r="46" ht="29" customHeight="1"/>
    <row r="47" ht="29" customHeight="1"/>
    <row r="48" ht="29" customHeight="1"/>
    <row r="49" ht="29" customHeight="1"/>
    <row r="50" ht="29" customHeight="1"/>
    <row r="51" ht="29" customHeight="1"/>
    <row r="52" ht="29" customHeight="1"/>
    <row r="53" ht="29" customHeight="1"/>
    <row r="54" ht="29" customHeight="1"/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4"/>
  <sheetViews>
    <sheetView workbookViewId="0">
      <selection activeCell="C10" sqref="C10"/>
    </sheetView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3" t="s">
        <v>0</v>
      </c>
      <c r="B1" s="14"/>
      <c r="C1" s="14"/>
      <c r="D1" s="14"/>
      <c r="E1" s="14"/>
    </row>
    <row r="2" spans="1:5" ht="29" customHeight="1">
      <c r="A2" s="2" t="s">
        <v>1</v>
      </c>
      <c r="B2" s="3" t="s">
        <v>11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ROW()-ROW(D3d5[[#Headers],[ลำดับที่]])</f>
        <v>1</v>
      </c>
      <c r="B4" s="8" t="s">
        <v>208</v>
      </c>
      <c r="C4" s="1" t="s">
        <v>209</v>
      </c>
      <c r="D4" s="1">
        <v>1</v>
      </c>
      <c r="E4" s="9" t="s">
        <v>210</v>
      </c>
    </row>
    <row r="5" spans="1:5" ht="29" customHeight="1">
      <c r="A5" s="7">
        <f>ROW()-ROW(D3d5[[#Headers],[ลำดับที่]])</f>
        <v>2</v>
      </c>
      <c r="B5" s="8" t="s">
        <v>228</v>
      </c>
      <c r="C5" s="1" t="s">
        <v>51</v>
      </c>
      <c r="D5" s="1">
        <v>2</v>
      </c>
      <c r="E5" s="9" t="s">
        <v>229</v>
      </c>
    </row>
    <row r="6" spans="1:5" ht="29" customHeight="1">
      <c r="A6" s="7">
        <f>ROW()-ROW(D3d5[[#Headers],[ลำดับที่]])</f>
        <v>3</v>
      </c>
      <c r="B6" s="8" t="s">
        <v>231</v>
      </c>
      <c r="C6" s="1" t="s">
        <v>51</v>
      </c>
      <c r="D6" s="1">
        <v>3</v>
      </c>
      <c r="E6" s="9" t="s">
        <v>232</v>
      </c>
    </row>
    <row r="7" spans="1:5" ht="29" customHeight="1">
      <c r="A7" s="7">
        <f>ROW()-ROW(D3d5[[#Headers],[ลำดับที่]])</f>
        <v>4</v>
      </c>
      <c r="B7" s="8" t="s">
        <v>215</v>
      </c>
      <c r="C7" s="1" t="s">
        <v>33</v>
      </c>
      <c r="D7" s="1">
        <v>1</v>
      </c>
      <c r="E7" s="9" t="s">
        <v>216</v>
      </c>
    </row>
    <row r="8" spans="1:5" ht="29" customHeight="1">
      <c r="A8" s="7">
        <f>ROW()-ROW(D3d5[[#Headers],[ลำดับที่]])</f>
        <v>5</v>
      </c>
      <c r="B8" s="8" t="s">
        <v>221</v>
      </c>
      <c r="C8" s="1" t="s">
        <v>33</v>
      </c>
      <c r="D8" s="1">
        <v>1</v>
      </c>
      <c r="E8" s="9" t="s">
        <v>222</v>
      </c>
    </row>
    <row r="9" spans="1:5" ht="29" customHeight="1">
      <c r="A9" s="7">
        <f>ROW()-ROW(D3d5[[#Headers],[ลำดับที่]])</f>
        <v>6</v>
      </c>
      <c r="B9" s="8" t="s">
        <v>267</v>
      </c>
      <c r="C9" s="1" t="s">
        <v>33</v>
      </c>
      <c r="D9" s="1">
        <v>1</v>
      </c>
      <c r="E9" s="9" t="s">
        <v>268</v>
      </c>
    </row>
    <row r="10" spans="1:5" ht="29" customHeight="1">
      <c r="A10" s="7">
        <f>ROW()-ROW(D3d5[[#Headers],[ลำดับที่]])</f>
        <v>7</v>
      </c>
      <c r="B10" s="8" t="s">
        <v>237</v>
      </c>
      <c r="C10" s="1" t="s">
        <v>60</v>
      </c>
      <c r="D10" s="1">
        <v>1</v>
      </c>
      <c r="E10" s="9" t="s">
        <v>238</v>
      </c>
    </row>
    <row r="11" spans="1:5" ht="29" customHeight="1">
      <c r="A11" s="7">
        <f>ROW()-ROW(D3d5[[#Headers],[ลำดับที่]])</f>
        <v>8</v>
      </c>
      <c r="B11" s="8" t="s">
        <v>259</v>
      </c>
      <c r="C11" s="1" t="s">
        <v>78</v>
      </c>
      <c r="D11" s="1">
        <v>1</v>
      </c>
      <c r="E11" s="9" t="s">
        <v>260</v>
      </c>
    </row>
    <row r="12" spans="1:5" ht="29" customHeight="1">
      <c r="A12" s="7">
        <f>ROW()-ROW(D3d5[[#Headers],[ลำดับที่]])</f>
        <v>9</v>
      </c>
      <c r="B12" s="8" t="s">
        <v>213</v>
      </c>
      <c r="C12" s="1" t="s">
        <v>84</v>
      </c>
      <c r="D12" s="1">
        <v>1</v>
      </c>
      <c r="E12" s="9" t="s">
        <v>214</v>
      </c>
    </row>
    <row r="13" spans="1:5" ht="29" customHeight="1">
      <c r="A13" s="7">
        <f>ROW()-ROW(D3d5[[#Headers],[ลำดับที่]])</f>
        <v>10</v>
      </c>
      <c r="B13" s="8" t="s">
        <v>185</v>
      </c>
      <c r="C13" s="1" t="s">
        <v>84</v>
      </c>
      <c r="D13" s="1">
        <v>1</v>
      </c>
      <c r="E13" s="9" t="s">
        <v>242</v>
      </c>
    </row>
    <row r="14" spans="1:5" ht="29" customHeight="1">
      <c r="A14" s="7">
        <f>ROW()-ROW(D3d5[[#Headers],[ลำดับที่]])</f>
        <v>11</v>
      </c>
      <c r="B14" s="8" t="s">
        <v>253</v>
      </c>
      <c r="C14" s="1" t="s">
        <v>84</v>
      </c>
      <c r="D14" s="1">
        <v>2</v>
      </c>
      <c r="E14" s="9" t="s">
        <v>254</v>
      </c>
    </row>
    <row r="15" spans="1:5" ht="29" customHeight="1">
      <c r="A15" s="7">
        <f>ROW()-ROW(D3d5[[#Headers],[ลำดับที่]])</f>
        <v>12</v>
      </c>
      <c r="B15" s="8" t="s">
        <v>224</v>
      </c>
      <c r="C15" s="1" t="s">
        <v>42</v>
      </c>
      <c r="D15" s="1">
        <v>6</v>
      </c>
      <c r="E15" s="9" t="s">
        <v>225</v>
      </c>
    </row>
    <row r="16" spans="1:5" ht="29" customHeight="1">
      <c r="A16" s="7">
        <f>ROW()-ROW(D3d5[[#Headers],[ลำดับที่]])</f>
        <v>13</v>
      </c>
      <c r="B16" s="8" t="s">
        <v>41</v>
      </c>
      <c r="C16" s="1" t="s">
        <v>42</v>
      </c>
      <c r="D16" s="1">
        <v>1</v>
      </c>
      <c r="E16" s="9" t="s">
        <v>230</v>
      </c>
    </row>
    <row r="17" spans="1:5" ht="29" customHeight="1">
      <c r="A17" s="7">
        <f>ROW()-ROW(D3d5[[#Headers],[ลำดับที่]])</f>
        <v>14</v>
      </c>
      <c r="B17" s="8" t="s">
        <v>245</v>
      </c>
      <c r="C17" s="1" t="s">
        <v>42</v>
      </c>
      <c r="D17" s="1">
        <v>1</v>
      </c>
      <c r="E17" s="9" t="s">
        <v>246</v>
      </c>
    </row>
    <row r="18" spans="1:5" ht="29" customHeight="1">
      <c r="A18" s="7">
        <f>ROW()-ROW(D3d5[[#Headers],[ลำดับที่]])</f>
        <v>15</v>
      </c>
      <c r="B18" s="8" t="s">
        <v>142</v>
      </c>
      <c r="C18" s="1" t="s">
        <v>120</v>
      </c>
      <c r="D18" s="1">
        <v>1</v>
      </c>
      <c r="E18" s="9" t="s">
        <v>241</v>
      </c>
    </row>
    <row r="19" spans="1:5" ht="29" customHeight="1">
      <c r="A19" s="7">
        <f>ROW()-ROW(D3d5[[#Headers],[ลำดับที่]])</f>
        <v>16</v>
      </c>
      <c r="B19" s="8" t="s">
        <v>251</v>
      </c>
      <c r="C19" s="1" t="s">
        <v>120</v>
      </c>
      <c r="D19" s="1">
        <v>2</v>
      </c>
      <c r="E19" s="9" t="s">
        <v>252</v>
      </c>
    </row>
    <row r="20" spans="1:5" ht="29" customHeight="1">
      <c r="A20" s="7">
        <f>ROW()-ROW(D3d5[[#Headers],[ลำดับที่]])</f>
        <v>17</v>
      </c>
      <c r="B20" s="8" t="s">
        <v>217</v>
      </c>
      <c r="C20" s="1" t="s">
        <v>92</v>
      </c>
      <c r="D20" s="1">
        <v>1</v>
      </c>
      <c r="E20" s="9" t="s">
        <v>218</v>
      </c>
    </row>
    <row r="21" spans="1:5" ht="29" customHeight="1">
      <c r="A21" s="7">
        <f>ROW()-ROW(D3d5[[#Headers],[ลำดับที่]])</f>
        <v>18</v>
      </c>
      <c r="B21" s="8" t="s">
        <v>219</v>
      </c>
      <c r="C21" s="1" t="s">
        <v>92</v>
      </c>
      <c r="D21" s="1">
        <v>1</v>
      </c>
      <c r="E21" s="9" t="s">
        <v>220</v>
      </c>
    </row>
    <row r="22" spans="1:5" ht="29" customHeight="1">
      <c r="A22" s="7">
        <f>ROW()-ROW(D3d5[[#Headers],[ลำดับที่]])</f>
        <v>19</v>
      </c>
      <c r="B22" s="8" t="s">
        <v>226</v>
      </c>
      <c r="C22" s="1" t="s">
        <v>92</v>
      </c>
      <c r="D22" s="1">
        <v>1</v>
      </c>
      <c r="E22" s="9" t="s">
        <v>227</v>
      </c>
    </row>
    <row r="23" spans="1:5" ht="29" customHeight="1">
      <c r="A23" s="7">
        <f>ROW()-ROW(D3d5[[#Headers],[ลำดับที่]])</f>
        <v>20</v>
      </c>
      <c r="B23" s="8" t="s">
        <v>255</v>
      </c>
      <c r="C23" s="1" t="s">
        <v>92</v>
      </c>
      <c r="D23" s="1">
        <v>1</v>
      </c>
      <c r="E23" s="9" t="s">
        <v>256</v>
      </c>
    </row>
    <row r="24" spans="1:5" ht="29" customHeight="1">
      <c r="A24" s="7">
        <f>ROW()-ROW(D3d5[[#Headers],[ลำดับที่]])</f>
        <v>21</v>
      </c>
      <c r="B24" s="8" t="s">
        <v>263</v>
      </c>
      <c r="C24" s="1" t="s">
        <v>92</v>
      </c>
      <c r="D24" s="1">
        <v>1</v>
      </c>
      <c r="E24" s="9" t="s">
        <v>264</v>
      </c>
    </row>
    <row r="25" spans="1:5" ht="29" customHeight="1">
      <c r="A25" s="7">
        <f>ROW()-ROW(D3d5[[#Headers],[ลำดับที่]])</f>
        <v>22</v>
      </c>
      <c r="B25" s="8" t="s">
        <v>235</v>
      </c>
      <c r="C25" s="1" t="s">
        <v>39</v>
      </c>
      <c r="D25" s="1">
        <v>1</v>
      </c>
      <c r="E25" s="9" t="s">
        <v>236</v>
      </c>
    </row>
    <row r="26" spans="1:5" ht="29" customHeight="1">
      <c r="A26" s="7">
        <f>ROW()-ROW(D3d5[[#Headers],[ลำดับที่]])</f>
        <v>23</v>
      </c>
      <c r="B26" s="8" t="s">
        <v>265</v>
      </c>
      <c r="C26" s="1" t="s">
        <v>39</v>
      </c>
      <c r="D26" s="1">
        <v>1</v>
      </c>
      <c r="E26" s="9" t="s">
        <v>266</v>
      </c>
    </row>
    <row r="27" spans="1:5" ht="29" customHeight="1">
      <c r="A27" s="7">
        <f>ROW()-ROW(D3d5[[#Headers],[ลำดับที่]])</f>
        <v>24</v>
      </c>
      <c r="B27" s="8" t="s">
        <v>211</v>
      </c>
      <c r="C27" s="1" t="s">
        <v>56</v>
      </c>
      <c r="D27" s="1">
        <v>1</v>
      </c>
      <c r="E27" s="9" t="s">
        <v>212</v>
      </c>
    </row>
    <row r="28" spans="1:5" ht="29" customHeight="1">
      <c r="A28" s="7">
        <f>ROW()-ROW(D3d5[[#Headers],[ลำดับที่]])</f>
        <v>25</v>
      </c>
      <c r="B28" s="8" t="s">
        <v>211</v>
      </c>
      <c r="C28" s="1" t="s">
        <v>56</v>
      </c>
      <c r="D28" s="1">
        <v>1</v>
      </c>
      <c r="E28" s="9" t="s">
        <v>223</v>
      </c>
    </row>
    <row r="29" spans="1:5" ht="29" customHeight="1">
      <c r="A29" s="7">
        <f>ROW()-ROW(D3d5[[#Headers],[ลำดับที่]])</f>
        <v>26</v>
      </c>
      <c r="B29" s="8" t="s">
        <v>249</v>
      </c>
      <c r="C29" s="1" t="s">
        <v>56</v>
      </c>
      <c r="D29" s="1">
        <v>1</v>
      </c>
      <c r="E29" s="9" t="s">
        <v>250</v>
      </c>
    </row>
    <row r="30" spans="1:5" ht="29" customHeight="1">
      <c r="A30" s="7">
        <f>ROW()-ROW(D3d5[[#Headers],[ลำดับที่]])</f>
        <v>27</v>
      </c>
      <c r="B30" s="8" t="s">
        <v>261</v>
      </c>
      <c r="C30" s="1" t="s">
        <v>56</v>
      </c>
      <c r="D30" s="1">
        <v>1</v>
      </c>
      <c r="E30" s="9" t="s">
        <v>262</v>
      </c>
    </row>
    <row r="31" spans="1:5" ht="29" customHeight="1">
      <c r="A31" s="7">
        <f>ROW()-ROW(D3d5[[#Headers],[ลำดับที่]])</f>
        <v>28</v>
      </c>
      <c r="B31" s="8" t="s">
        <v>233</v>
      </c>
      <c r="C31" s="1" t="s">
        <v>65</v>
      </c>
      <c r="D31" s="1">
        <v>1</v>
      </c>
      <c r="E31" s="9" t="s">
        <v>234</v>
      </c>
    </row>
    <row r="32" spans="1:5" ht="29" customHeight="1">
      <c r="A32" s="7">
        <f>ROW()-ROW(D3d5[[#Headers],[ลำดับที่]])</f>
        <v>29</v>
      </c>
      <c r="B32" s="8" t="s">
        <v>239</v>
      </c>
      <c r="C32" s="1" t="s">
        <v>65</v>
      </c>
      <c r="D32" s="1">
        <v>1</v>
      </c>
      <c r="E32" s="9" t="s">
        <v>240</v>
      </c>
    </row>
    <row r="33" spans="1:5" ht="29" customHeight="1">
      <c r="A33" s="7">
        <f>ROW()-ROW(D3d5[[#Headers],[ลำดับที่]])</f>
        <v>30</v>
      </c>
      <c r="B33" s="8" t="s">
        <v>243</v>
      </c>
      <c r="C33" s="1" t="s">
        <v>65</v>
      </c>
      <c r="D33" s="1">
        <v>1</v>
      </c>
      <c r="E33" s="9" t="s">
        <v>244</v>
      </c>
    </row>
    <row r="34" spans="1:5" ht="29" customHeight="1">
      <c r="A34" s="7">
        <f>ROW()-ROW(D3d5[[#Headers],[ลำดับที่]])</f>
        <v>31</v>
      </c>
      <c r="B34" s="8" t="s">
        <v>257</v>
      </c>
      <c r="C34" s="1" t="s">
        <v>65</v>
      </c>
      <c r="D34" s="1">
        <v>1</v>
      </c>
      <c r="E34" s="9" t="s">
        <v>258</v>
      </c>
    </row>
    <row r="35" spans="1:5" ht="29" customHeight="1">
      <c r="A35" s="7">
        <f>ROW()-ROW(D3d5[[#Headers],[ลำดับที่]])</f>
        <v>32</v>
      </c>
      <c r="B35" s="8" t="s">
        <v>247</v>
      </c>
      <c r="C35" s="1" t="s">
        <v>102</v>
      </c>
      <c r="D35" s="1">
        <v>1</v>
      </c>
      <c r="E35" s="9" t="s">
        <v>248</v>
      </c>
    </row>
    <row r="36" spans="1:5" ht="29" customHeight="1">
      <c r="C36" s="10" t="s">
        <v>8</v>
      </c>
      <c r="D36" s="11">
        <f>SUM(D4:D35)</f>
        <v>42</v>
      </c>
    </row>
    <row r="37" spans="1:5" ht="29" customHeight="1"/>
    <row r="38" spans="1:5" ht="29" customHeight="1"/>
    <row r="39" spans="1:5" ht="29" customHeight="1"/>
    <row r="40" spans="1:5" ht="29" customHeight="1"/>
    <row r="41" spans="1:5" ht="29" customHeight="1"/>
    <row r="42" spans="1:5" ht="29" customHeight="1"/>
    <row r="43" spans="1:5" ht="29" customHeight="1"/>
    <row r="44" spans="1:5" ht="29" customHeight="1"/>
    <row r="45" spans="1:5" ht="29" customHeight="1"/>
    <row r="46" spans="1:5" ht="29" customHeight="1"/>
    <row r="47" spans="1:5" ht="29" customHeight="1"/>
    <row r="48" spans="1:5" ht="29" customHeight="1"/>
    <row r="49" ht="29" customHeight="1"/>
    <row r="50" ht="29" customHeight="1"/>
    <row r="51" ht="29" customHeight="1"/>
    <row r="52" ht="29" customHeight="1"/>
    <row r="53" ht="29" customHeight="1"/>
    <row r="54" ht="29" customHeight="1"/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8"/>
  <sheetViews>
    <sheetView workbookViewId="0">
      <selection activeCell="C46" sqref="C46"/>
    </sheetView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3" t="s">
        <v>0</v>
      </c>
      <c r="B1" s="14"/>
      <c r="C1" s="14"/>
      <c r="D1" s="14"/>
      <c r="E1" s="14"/>
    </row>
    <row r="2" spans="1:5" ht="29" customHeight="1">
      <c r="A2" s="2" t="s">
        <v>1</v>
      </c>
      <c r="B2" s="3" t="s">
        <v>12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ROW()-ROW(D3d6[[#Headers],[ลำดับที่]])</f>
        <v>1</v>
      </c>
      <c r="B4" s="8" t="s">
        <v>364</v>
      </c>
      <c r="C4" s="1" t="s">
        <v>209</v>
      </c>
      <c r="D4" s="1">
        <v>1</v>
      </c>
      <c r="E4" s="9" t="s">
        <v>365</v>
      </c>
    </row>
    <row r="5" spans="1:5" ht="29" customHeight="1">
      <c r="A5" s="7">
        <f>ROW()-ROW(D3d6[[#Headers],[ลำดับที่]])</f>
        <v>2</v>
      </c>
      <c r="B5" s="8" t="s">
        <v>160</v>
      </c>
      <c r="C5" s="1" t="s">
        <v>51</v>
      </c>
      <c r="D5" s="1">
        <v>1</v>
      </c>
      <c r="E5" s="9" t="s">
        <v>277</v>
      </c>
    </row>
    <row r="6" spans="1:5" ht="29" customHeight="1">
      <c r="A6" s="7">
        <f>ROW()-ROW(D3d6[[#Headers],[ลำดับที่]])</f>
        <v>3</v>
      </c>
      <c r="B6" s="8" t="s">
        <v>228</v>
      </c>
      <c r="C6" s="1" t="s">
        <v>51</v>
      </c>
      <c r="D6" s="1">
        <v>3</v>
      </c>
      <c r="E6" s="9" t="s">
        <v>288</v>
      </c>
    </row>
    <row r="7" spans="1:5" ht="29" customHeight="1">
      <c r="A7" s="7">
        <f>ROW()-ROW(D3d6[[#Headers],[ลำดับที่]])</f>
        <v>4</v>
      </c>
      <c r="B7" s="8" t="s">
        <v>289</v>
      </c>
      <c r="C7" s="1" t="s">
        <v>51</v>
      </c>
      <c r="D7" s="1">
        <v>1</v>
      </c>
      <c r="E7" s="9" t="s">
        <v>290</v>
      </c>
    </row>
    <row r="8" spans="1:5" ht="29" customHeight="1">
      <c r="A8" s="7">
        <f>ROW()-ROW(D3d6[[#Headers],[ลำดับที่]])</f>
        <v>5</v>
      </c>
      <c r="B8" s="8" t="s">
        <v>318</v>
      </c>
      <c r="C8" s="1" t="s">
        <v>51</v>
      </c>
      <c r="D8" s="1">
        <v>1</v>
      </c>
      <c r="E8" s="9" t="s">
        <v>319</v>
      </c>
    </row>
    <row r="9" spans="1:5" ht="29" customHeight="1">
      <c r="A9" s="7">
        <f>ROW()-ROW(D3d6[[#Headers],[ลำดับที่]])</f>
        <v>6</v>
      </c>
      <c r="B9" s="8" t="s">
        <v>352</v>
      </c>
      <c r="C9" s="1" t="s">
        <v>51</v>
      </c>
      <c r="D9" s="1">
        <v>1</v>
      </c>
      <c r="E9" s="9" t="s">
        <v>353</v>
      </c>
    </row>
    <row r="10" spans="1:5" ht="29" customHeight="1">
      <c r="A10" s="7">
        <f>ROW()-ROW(D3d6[[#Headers],[ลำดับที่]])</f>
        <v>7</v>
      </c>
      <c r="B10" s="8" t="s">
        <v>387</v>
      </c>
      <c r="C10" s="1" t="s">
        <v>51</v>
      </c>
      <c r="D10" s="1">
        <v>1</v>
      </c>
      <c r="E10" s="9" t="s">
        <v>386</v>
      </c>
    </row>
    <row r="11" spans="1:5" ht="29" customHeight="1">
      <c r="A11" s="7">
        <f>ROW()-ROW(D3d6[[#Headers],[ลำดับที่]])</f>
        <v>8</v>
      </c>
      <c r="B11" s="8" t="s">
        <v>275</v>
      </c>
      <c r="C11" s="1" t="s">
        <v>33</v>
      </c>
      <c r="D11" s="1">
        <v>1</v>
      </c>
      <c r="E11" s="9" t="s">
        <v>276</v>
      </c>
    </row>
    <row r="12" spans="1:5" ht="29" customHeight="1">
      <c r="A12" s="7">
        <f>ROW()-ROW(D3d6[[#Headers],[ลำดับที่]])</f>
        <v>9</v>
      </c>
      <c r="B12" s="8" t="s">
        <v>278</v>
      </c>
      <c r="C12" s="1" t="s">
        <v>33</v>
      </c>
      <c r="D12" s="1">
        <v>1</v>
      </c>
      <c r="E12" s="9" t="s">
        <v>279</v>
      </c>
    </row>
    <row r="13" spans="1:5" ht="29" customHeight="1">
      <c r="A13" s="7">
        <f>ROW()-ROW(D3d6[[#Headers],[ลำดับที่]])</f>
        <v>10</v>
      </c>
      <c r="B13" s="8" t="s">
        <v>280</v>
      </c>
      <c r="C13" s="1" t="s">
        <v>33</v>
      </c>
      <c r="D13" s="1">
        <v>2</v>
      </c>
      <c r="E13" s="9" t="s">
        <v>281</v>
      </c>
    </row>
    <row r="14" spans="1:5" ht="29" customHeight="1">
      <c r="A14" s="7">
        <f>ROW()-ROW(D3d6[[#Headers],[ลำดับที่]])</f>
        <v>11</v>
      </c>
      <c r="B14" s="8" t="s">
        <v>282</v>
      </c>
      <c r="C14" s="1" t="s">
        <v>33</v>
      </c>
      <c r="D14" s="1">
        <v>1</v>
      </c>
      <c r="E14" s="9" t="s">
        <v>283</v>
      </c>
    </row>
    <row r="15" spans="1:5" ht="29" customHeight="1">
      <c r="A15" s="7">
        <f>ROW()-ROW(D3d6[[#Headers],[ลำดับที่]])</f>
        <v>12</v>
      </c>
      <c r="B15" s="8" t="s">
        <v>284</v>
      </c>
      <c r="C15" s="1" t="s">
        <v>33</v>
      </c>
      <c r="D15" s="1">
        <v>1</v>
      </c>
      <c r="E15" s="9" t="s">
        <v>285</v>
      </c>
    </row>
    <row r="16" spans="1:5" ht="29" customHeight="1">
      <c r="A16" s="7">
        <f>ROW()-ROW(D3d6[[#Headers],[ลำดับที่]])</f>
        <v>13</v>
      </c>
      <c r="B16" s="8" t="s">
        <v>286</v>
      </c>
      <c r="C16" s="1" t="s">
        <v>33</v>
      </c>
      <c r="D16" s="1">
        <v>3</v>
      </c>
      <c r="E16" s="9" t="s">
        <v>287</v>
      </c>
    </row>
    <row r="17" spans="1:5" ht="29" customHeight="1">
      <c r="A17" s="7">
        <f>ROW()-ROW(D3d6[[#Headers],[ลำดับที่]])</f>
        <v>14</v>
      </c>
      <c r="B17" s="8" t="s">
        <v>291</v>
      </c>
      <c r="C17" s="1" t="s">
        <v>33</v>
      </c>
      <c r="D17" s="1">
        <v>1</v>
      </c>
      <c r="E17" s="9" t="s">
        <v>292</v>
      </c>
    </row>
    <row r="18" spans="1:5" ht="29" customHeight="1">
      <c r="A18" s="7">
        <f>ROW()-ROW(D3d6[[#Headers],[ลำดับที่]])</f>
        <v>15</v>
      </c>
      <c r="B18" s="8" t="s">
        <v>140</v>
      </c>
      <c r="C18" s="1" t="s">
        <v>33</v>
      </c>
      <c r="D18" s="1">
        <v>2</v>
      </c>
      <c r="E18" s="9" t="s">
        <v>330</v>
      </c>
    </row>
    <row r="19" spans="1:5" ht="29" customHeight="1">
      <c r="A19" s="7">
        <f>ROW()-ROW(D3d6[[#Headers],[ลำดับที่]])</f>
        <v>16</v>
      </c>
      <c r="B19" s="8" t="s">
        <v>347</v>
      </c>
      <c r="C19" s="1" t="s">
        <v>33</v>
      </c>
      <c r="D19" s="1">
        <v>1</v>
      </c>
      <c r="E19" s="9" t="s">
        <v>348</v>
      </c>
    </row>
    <row r="20" spans="1:5" ht="29" customHeight="1">
      <c r="A20" s="7">
        <f>ROW()-ROW(D3d6[[#Headers],[ลำดับที่]])</f>
        <v>17</v>
      </c>
      <c r="B20" s="8" t="s">
        <v>152</v>
      </c>
      <c r="C20" s="1" t="s">
        <v>33</v>
      </c>
      <c r="D20" s="1">
        <v>1</v>
      </c>
      <c r="E20" s="9" t="s">
        <v>349</v>
      </c>
    </row>
    <row r="21" spans="1:5" ht="29" customHeight="1">
      <c r="A21" s="7">
        <f>ROW()-ROW(D3d6[[#Headers],[ลำดับที่]])</f>
        <v>18</v>
      </c>
      <c r="B21" s="8" t="s">
        <v>140</v>
      </c>
      <c r="C21" s="1" t="s">
        <v>33</v>
      </c>
      <c r="D21" s="1">
        <v>1</v>
      </c>
      <c r="E21" s="9" t="s">
        <v>366</v>
      </c>
    </row>
    <row r="22" spans="1:5" ht="29" customHeight="1">
      <c r="A22" s="7">
        <f>ROW()-ROW(D3d6[[#Headers],[ลำดับที่]])</f>
        <v>19</v>
      </c>
      <c r="B22" s="8" t="s">
        <v>369</v>
      </c>
      <c r="C22" s="1" t="s">
        <v>33</v>
      </c>
      <c r="D22" s="1">
        <v>1</v>
      </c>
      <c r="E22" s="9" t="s">
        <v>370</v>
      </c>
    </row>
    <row r="23" spans="1:5" ht="29" customHeight="1">
      <c r="A23" s="7">
        <f>ROW()-ROW(D3d6[[#Headers],[ลำดับที่]])</f>
        <v>20</v>
      </c>
      <c r="B23" s="8" t="s">
        <v>356</v>
      </c>
      <c r="C23" s="1" t="s">
        <v>60</v>
      </c>
      <c r="D23" s="1">
        <v>1</v>
      </c>
      <c r="E23" s="9" t="s">
        <v>357</v>
      </c>
    </row>
    <row r="24" spans="1:5" ht="29" customHeight="1">
      <c r="A24" s="7">
        <f>ROW()-ROW(D3d6[[#Headers],[ลำดับที่]])</f>
        <v>21</v>
      </c>
      <c r="B24" s="8" t="s">
        <v>269</v>
      </c>
      <c r="C24" s="1" t="s">
        <v>172</v>
      </c>
      <c r="D24" s="1">
        <v>1</v>
      </c>
      <c r="E24" s="9" t="s">
        <v>270</v>
      </c>
    </row>
    <row r="25" spans="1:5" ht="29" customHeight="1">
      <c r="A25" s="7">
        <f>ROW()-ROW(D3d6[[#Headers],[ลำดับที่]])</f>
        <v>22</v>
      </c>
      <c r="B25" s="8" t="s">
        <v>273</v>
      </c>
      <c r="C25" s="1" t="s">
        <v>172</v>
      </c>
      <c r="D25" s="1">
        <v>1</v>
      </c>
      <c r="E25" s="9" t="s">
        <v>274</v>
      </c>
    </row>
    <row r="26" spans="1:5" ht="29" customHeight="1">
      <c r="A26" s="7">
        <f>ROW()-ROW(D3d6[[#Headers],[ลำดับที่]])</f>
        <v>23</v>
      </c>
      <c r="B26" s="8" t="s">
        <v>271</v>
      </c>
      <c r="C26" s="1" t="s">
        <v>78</v>
      </c>
      <c r="D26" s="1">
        <v>1</v>
      </c>
      <c r="E26" s="9" t="s">
        <v>272</v>
      </c>
    </row>
    <row r="27" spans="1:5" ht="29" customHeight="1">
      <c r="A27" s="7">
        <f>ROW()-ROW(D3d6[[#Headers],[ลำดับที่]])</f>
        <v>24</v>
      </c>
      <c r="B27" s="8" t="s">
        <v>293</v>
      </c>
      <c r="C27" s="1" t="s">
        <v>84</v>
      </c>
      <c r="D27" s="1">
        <v>1</v>
      </c>
      <c r="E27" s="9" t="s">
        <v>294</v>
      </c>
    </row>
    <row r="28" spans="1:5" ht="29" customHeight="1">
      <c r="A28" s="7">
        <f>ROW()-ROW(D3d6[[#Headers],[ลำดับที่]])</f>
        <v>25</v>
      </c>
      <c r="B28" s="8" t="s">
        <v>295</v>
      </c>
      <c r="C28" s="1" t="s">
        <v>84</v>
      </c>
      <c r="D28" s="1">
        <v>2</v>
      </c>
      <c r="E28" s="9" t="s">
        <v>296</v>
      </c>
    </row>
    <row r="29" spans="1:5" ht="29" customHeight="1">
      <c r="A29" s="7">
        <f>ROW()-ROW(D3d6[[#Headers],[ลำดับที่]])</f>
        <v>26</v>
      </c>
      <c r="B29" s="8" t="s">
        <v>312</v>
      </c>
      <c r="C29" s="1" t="s">
        <v>84</v>
      </c>
      <c r="D29" s="1">
        <v>1</v>
      </c>
      <c r="E29" s="9" t="s">
        <v>313</v>
      </c>
    </row>
    <row r="30" spans="1:5" ht="29" customHeight="1">
      <c r="A30" s="7">
        <f>ROW()-ROW(D3d6[[#Headers],[ลำดับที่]])</f>
        <v>27</v>
      </c>
      <c r="B30" s="8" t="s">
        <v>316</v>
      </c>
      <c r="C30" s="1" t="s">
        <v>84</v>
      </c>
      <c r="D30" s="1">
        <v>1</v>
      </c>
      <c r="E30" s="9" t="s">
        <v>317</v>
      </c>
    </row>
    <row r="31" spans="1:5" ht="29" customHeight="1">
      <c r="A31" s="7">
        <f>ROW()-ROW(D3d6[[#Headers],[ลำดับที่]])</f>
        <v>28</v>
      </c>
      <c r="B31" s="8" t="s">
        <v>320</v>
      </c>
      <c r="C31" s="1" t="s">
        <v>84</v>
      </c>
      <c r="D31" s="1">
        <v>1</v>
      </c>
      <c r="E31" s="9" t="s">
        <v>321</v>
      </c>
    </row>
    <row r="32" spans="1:5" ht="29" customHeight="1">
      <c r="A32" s="7">
        <f>ROW()-ROW(D3d6[[#Headers],[ลำดับที่]])</f>
        <v>29</v>
      </c>
      <c r="B32" s="8" t="s">
        <v>335</v>
      </c>
      <c r="C32" s="1" t="s">
        <v>84</v>
      </c>
      <c r="D32" s="1">
        <v>1</v>
      </c>
      <c r="E32" s="9" t="s">
        <v>336</v>
      </c>
    </row>
    <row r="33" spans="1:5" ht="29" customHeight="1">
      <c r="A33" s="7">
        <f>ROW()-ROW(D3d6[[#Headers],[ลำดับที่]])</f>
        <v>30</v>
      </c>
      <c r="B33" s="8" t="s">
        <v>187</v>
      </c>
      <c r="C33" s="1" t="s">
        <v>84</v>
      </c>
      <c r="D33" s="1">
        <v>3</v>
      </c>
      <c r="E33" s="9" t="s">
        <v>337</v>
      </c>
    </row>
    <row r="34" spans="1:5" ht="29" customHeight="1">
      <c r="A34" s="7">
        <f>ROW()-ROW(D3d6[[#Headers],[ลำดับที่]])</f>
        <v>31</v>
      </c>
      <c r="B34" s="8" t="s">
        <v>312</v>
      </c>
      <c r="C34" s="1" t="s">
        <v>84</v>
      </c>
      <c r="D34" s="1">
        <v>1</v>
      </c>
      <c r="E34" s="9" t="s">
        <v>344</v>
      </c>
    </row>
    <row r="35" spans="1:5" ht="29" customHeight="1">
      <c r="A35" s="7">
        <f>ROW()-ROW(D3d6[[#Headers],[ลำดับที่]])</f>
        <v>32</v>
      </c>
      <c r="B35" s="8" t="s">
        <v>362</v>
      </c>
      <c r="C35" s="1" t="s">
        <v>84</v>
      </c>
      <c r="D35" s="1">
        <v>1</v>
      </c>
      <c r="E35" s="9" t="s">
        <v>363</v>
      </c>
    </row>
    <row r="36" spans="1:5" ht="29" customHeight="1">
      <c r="A36" s="7">
        <f>ROW()-ROW(D3d6[[#Headers],[ลำดับที่]])</f>
        <v>33</v>
      </c>
      <c r="B36" s="8" t="s">
        <v>372</v>
      </c>
      <c r="C36" s="1" t="s">
        <v>84</v>
      </c>
      <c r="D36" s="1">
        <v>1</v>
      </c>
      <c r="E36" s="9" t="s">
        <v>373</v>
      </c>
    </row>
    <row r="37" spans="1:5" ht="29" customHeight="1">
      <c r="A37" s="7">
        <f>ROW()-ROW(D3d6[[#Headers],[ลำดับที่]])</f>
        <v>34</v>
      </c>
      <c r="B37" s="8" t="s">
        <v>375</v>
      </c>
      <c r="C37" s="1" t="s">
        <v>84</v>
      </c>
      <c r="D37" s="1">
        <v>1</v>
      </c>
      <c r="E37" s="9" t="s">
        <v>376</v>
      </c>
    </row>
    <row r="38" spans="1:5" ht="29" customHeight="1">
      <c r="A38" s="7">
        <f>ROW()-ROW(D3d6[[#Headers],[ลำดับที่]])</f>
        <v>35</v>
      </c>
      <c r="B38" s="8" t="s">
        <v>381</v>
      </c>
      <c r="C38" s="1" t="s">
        <v>84</v>
      </c>
      <c r="D38" s="1">
        <v>1</v>
      </c>
      <c r="E38" s="9" t="s">
        <v>382</v>
      </c>
    </row>
    <row r="39" spans="1:5" ht="29" customHeight="1">
      <c r="A39" s="7">
        <f>ROW()-ROW(D3d6[[#Headers],[ลำดับที่]])</f>
        <v>36</v>
      </c>
      <c r="B39" s="8" t="s">
        <v>383</v>
      </c>
      <c r="C39" s="1" t="s">
        <v>84</v>
      </c>
      <c r="D39" s="1">
        <v>1</v>
      </c>
      <c r="E39" s="9" t="s">
        <v>384</v>
      </c>
    </row>
    <row r="40" spans="1:5" ht="29" customHeight="1">
      <c r="A40" s="7">
        <f>ROW()-ROW(D3d6[[#Headers],[ลำดับที่]])</f>
        <v>37</v>
      </c>
      <c r="B40" s="8" t="s">
        <v>388</v>
      </c>
      <c r="C40" s="1" t="s">
        <v>84</v>
      </c>
      <c r="D40" s="1">
        <v>1</v>
      </c>
      <c r="E40" s="9" t="s">
        <v>389</v>
      </c>
    </row>
    <row r="41" spans="1:5" ht="29" customHeight="1">
      <c r="A41" s="7">
        <f>ROW()-ROW(D3d6[[#Headers],[ลำดับที่]])</f>
        <v>38</v>
      </c>
      <c r="B41" s="8" t="s">
        <v>301</v>
      </c>
      <c r="C41" s="1" t="s">
        <v>42</v>
      </c>
      <c r="D41" s="1">
        <v>1</v>
      </c>
      <c r="E41" s="9" t="s">
        <v>302</v>
      </c>
    </row>
    <row r="42" spans="1:5" ht="29" customHeight="1">
      <c r="A42" s="7">
        <f>ROW()-ROW(D3d6[[#Headers],[ลำดับที่]])</f>
        <v>39</v>
      </c>
      <c r="B42" s="8" t="s">
        <v>128</v>
      </c>
      <c r="C42" s="1" t="s">
        <v>42</v>
      </c>
      <c r="D42" s="1">
        <v>1</v>
      </c>
      <c r="E42" s="9" t="s">
        <v>374</v>
      </c>
    </row>
    <row r="43" spans="1:5" ht="29" customHeight="1">
      <c r="A43" s="7">
        <f>ROW()-ROW(D3d6[[#Headers],[ลำดับที่]])</f>
        <v>40</v>
      </c>
      <c r="B43" s="8" t="s">
        <v>307</v>
      </c>
      <c r="C43" s="1" t="s">
        <v>45</v>
      </c>
      <c r="D43" s="1">
        <v>1</v>
      </c>
      <c r="E43" s="9" t="s">
        <v>308</v>
      </c>
    </row>
    <row r="44" spans="1:5" ht="29" customHeight="1">
      <c r="A44" s="7">
        <f>ROW()-ROW(D3d6[[#Headers],[ลำดับที่]])</f>
        <v>41</v>
      </c>
      <c r="B44" s="8" t="s">
        <v>354</v>
      </c>
      <c r="C44" s="1" t="s">
        <v>45</v>
      </c>
      <c r="D44" s="1">
        <v>1</v>
      </c>
      <c r="E44" s="9" t="s">
        <v>355</v>
      </c>
    </row>
    <row r="45" spans="1:5" ht="29" customHeight="1">
      <c r="A45" s="7">
        <f>ROW()-ROW(D3d6[[#Headers],[ลำดับที่]])</f>
        <v>42</v>
      </c>
      <c r="B45" s="8" t="s">
        <v>367</v>
      </c>
      <c r="C45" s="1" t="s">
        <v>45</v>
      </c>
      <c r="D45" s="1">
        <v>1</v>
      </c>
      <c r="E45" s="9" t="s">
        <v>368</v>
      </c>
    </row>
    <row r="46" spans="1:5" ht="29" customHeight="1">
      <c r="A46" s="7">
        <f>ROW()-ROW(D3d6[[#Headers],[ลำดับที่]])</f>
        <v>43</v>
      </c>
      <c r="B46" s="8" t="s">
        <v>379</v>
      </c>
      <c r="C46" s="1" t="s">
        <v>45</v>
      </c>
      <c r="D46" s="1">
        <v>6</v>
      </c>
      <c r="E46" s="9" t="s">
        <v>380</v>
      </c>
    </row>
    <row r="47" spans="1:5" ht="29" customHeight="1">
      <c r="A47" s="7">
        <f>ROW()-ROW(D3d6[[#Headers],[ลำดับที่]])</f>
        <v>44</v>
      </c>
      <c r="B47" s="8" t="s">
        <v>345</v>
      </c>
      <c r="C47" s="1" t="s">
        <v>120</v>
      </c>
      <c r="D47" s="1">
        <v>1</v>
      </c>
      <c r="E47" s="9" t="s">
        <v>346</v>
      </c>
    </row>
    <row r="48" spans="1:5" ht="29" customHeight="1">
      <c r="A48" s="7">
        <f>ROW()-ROW(D3d6[[#Headers],[ลำดับที่]])</f>
        <v>45</v>
      </c>
      <c r="B48" s="8" t="s">
        <v>297</v>
      </c>
      <c r="C48" s="1" t="s">
        <v>92</v>
      </c>
      <c r="D48" s="1">
        <v>1</v>
      </c>
      <c r="E48" s="9" t="s">
        <v>298</v>
      </c>
    </row>
    <row r="49" spans="1:5" ht="29" customHeight="1">
      <c r="A49" s="7">
        <f>ROW()-ROW(D3d6[[#Headers],[ลำดับที่]])</f>
        <v>46</v>
      </c>
      <c r="B49" s="8" t="s">
        <v>299</v>
      </c>
      <c r="C49" s="1" t="s">
        <v>92</v>
      </c>
      <c r="D49" s="1">
        <v>1</v>
      </c>
      <c r="E49" s="9" t="s">
        <v>300</v>
      </c>
    </row>
    <row r="50" spans="1:5" ht="29" customHeight="1">
      <c r="A50" s="7">
        <f>ROW()-ROW(D3d6[[#Headers],[ลำดับที่]])</f>
        <v>47</v>
      </c>
      <c r="B50" s="8" t="s">
        <v>314</v>
      </c>
      <c r="C50" s="1" t="s">
        <v>92</v>
      </c>
      <c r="D50" s="1">
        <v>1</v>
      </c>
      <c r="E50" s="9" t="s">
        <v>315</v>
      </c>
    </row>
    <row r="51" spans="1:5" ht="29" customHeight="1">
      <c r="A51" s="7">
        <f>ROW()-ROW(D3d6[[#Headers],[ลำดับที่]])</f>
        <v>48</v>
      </c>
      <c r="B51" s="8" t="s">
        <v>322</v>
      </c>
      <c r="C51" s="1" t="s">
        <v>92</v>
      </c>
      <c r="D51" s="1">
        <v>1</v>
      </c>
      <c r="E51" s="9" t="s">
        <v>323</v>
      </c>
    </row>
    <row r="52" spans="1:5" ht="30" customHeight="1">
      <c r="A52" s="7">
        <f>ROW()-ROW(D3d6[[#Headers],[ลำดับที่]])</f>
        <v>49</v>
      </c>
      <c r="B52" s="8" t="s">
        <v>324</v>
      </c>
      <c r="C52" s="1" t="s">
        <v>92</v>
      </c>
      <c r="D52" s="1">
        <v>1</v>
      </c>
      <c r="E52" s="9" t="s">
        <v>325</v>
      </c>
    </row>
    <row r="53" spans="1:5" ht="30" customHeight="1">
      <c r="A53" s="7">
        <f>ROW()-ROW(D3d6[[#Headers],[ลำดับที่]])</f>
        <v>50</v>
      </c>
      <c r="B53" s="8" t="s">
        <v>331</v>
      </c>
      <c r="C53" s="1" t="s">
        <v>92</v>
      </c>
      <c r="D53" s="1">
        <v>1</v>
      </c>
      <c r="E53" s="9" t="s">
        <v>332</v>
      </c>
    </row>
    <row r="54" spans="1:5" ht="30" customHeight="1">
      <c r="A54" s="7">
        <f>ROW()-ROW(D3d6[[#Headers],[ลำดับที่]])</f>
        <v>51</v>
      </c>
      <c r="B54" s="8" t="s">
        <v>342</v>
      </c>
      <c r="C54" s="1" t="s">
        <v>92</v>
      </c>
      <c r="D54" s="1">
        <v>1</v>
      </c>
      <c r="E54" s="9" t="s">
        <v>343</v>
      </c>
    </row>
    <row r="55" spans="1:5" ht="30" customHeight="1">
      <c r="A55" s="7">
        <f>ROW()-ROW(D3d6[[#Headers],[ลำดับที่]])</f>
        <v>52</v>
      </c>
      <c r="B55" s="8" t="s">
        <v>358</v>
      </c>
      <c r="C55" s="1" t="s">
        <v>92</v>
      </c>
      <c r="D55" s="1">
        <v>1</v>
      </c>
      <c r="E55" s="9" t="s">
        <v>359</v>
      </c>
    </row>
    <row r="56" spans="1:5" ht="30" customHeight="1">
      <c r="A56" s="7">
        <f>ROW()-ROW(D3d6[[#Headers],[ลำดับที่]])</f>
        <v>53</v>
      </c>
      <c r="B56" s="8" t="s">
        <v>29</v>
      </c>
      <c r="C56" s="1" t="s">
        <v>30</v>
      </c>
      <c r="D56" s="1">
        <v>7</v>
      </c>
      <c r="E56" s="9" t="s">
        <v>371</v>
      </c>
    </row>
    <row r="57" spans="1:5" ht="30" customHeight="1">
      <c r="A57" s="7">
        <f>ROW()-ROW(D3d6[[#Headers],[ลำดับที่]])</f>
        <v>54</v>
      </c>
      <c r="B57" s="8" t="s">
        <v>309</v>
      </c>
      <c r="C57" s="1" t="s">
        <v>36</v>
      </c>
      <c r="D57" s="1">
        <v>1</v>
      </c>
      <c r="E57" s="9" t="s">
        <v>310</v>
      </c>
    </row>
    <row r="58" spans="1:5" ht="30" customHeight="1">
      <c r="A58" s="7">
        <f>ROW()-ROW(D3d6[[#Headers],[ลำดับที่]])</f>
        <v>55</v>
      </c>
      <c r="B58" s="8" t="s">
        <v>67</v>
      </c>
      <c r="C58" s="1" t="s">
        <v>36</v>
      </c>
      <c r="D58" s="1">
        <v>1</v>
      </c>
      <c r="E58" s="9" t="s">
        <v>311</v>
      </c>
    </row>
    <row r="59" spans="1:5" ht="30" customHeight="1">
      <c r="A59" s="7">
        <f>ROW()-ROW(D3d6[[#Headers],[ลำดับที่]])</f>
        <v>56</v>
      </c>
      <c r="B59" s="8" t="s">
        <v>109</v>
      </c>
      <c r="C59" s="1" t="s">
        <v>36</v>
      </c>
      <c r="D59" s="1">
        <v>2</v>
      </c>
      <c r="E59" s="9" t="s">
        <v>341</v>
      </c>
    </row>
    <row r="60" spans="1:5" ht="30" customHeight="1">
      <c r="A60" s="7">
        <f>ROW()-ROW(D3d6[[#Headers],[ลำดับที่]])</f>
        <v>57</v>
      </c>
      <c r="B60" s="8" t="s">
        <v>328</v>
      </c>
      <c r="C60" s="1" t="s">
        <v>56</v>
      </c>
      <c r="D60" s="1">
        <v>2</v>
      </c>
      <c r="E60" s="9" t="s">
        <v>329</v>
      </c>
    </row>
    <row r="61" spans="1:5" ht="30" customHeight="1">
      <c r="A61" s="7">
        <f>ROW()-ROW(D3d6[[#Headers],[ลำดับที่]])</f>
        <v>58</v>
      </c>
      <c r="B61" s="8" t="s">
        <v>124</v>
      </c>
      <c r="C61" s="1" t="s">
        <v>56</v>
      </c>
      <c r="D61" s="1">
        <v>1</v>
      </c>
      <c r="E61" s="9" t="s">
        <v>338</v>
      </c>
    </row>
    <row r="62" spans="1:5" ht="30" customHeight="1">
      <c r="A62" s="7">
        <f>ROW()-ROW(D3d6[[#Headers],[ลำดับที่]])</f>
        <v>59</v>
      </c>
      <c r="B62" s="8" t="s">
        <v>339</v>
      </c>
      <c r="C62" s="1" t="s">
        <v>56</v>
      </c>
      <c r="D62" s="1">
        <v>1</v>
      </c>
      <c r="E62" s="9" t="s">
        <v>340</v>
      </c>
    </row>
    <row r="63" spans="1:5" ht="30" customHeight="1">
      <c r="A63" s="7">
        <f>ROW()-ROW(D3d6[[#Headers],[ลำดับที่]])</f>
        <v>60</v>
      </c>
      <c r="B63" s="8" t="s">
        <v>305</v>
      </c>
      <c r="C63" s="1" t="s">
        <v>65</v>
      </c>
      <c r="D63" s="1">
        <v>1</v>
      </c>
      <c r="E63" s="9" t="s">
        <v>306</v>
      </c>
    </row>
    <row r="64" spans="1:5" ht="30" customHeight="1">
      <c r="A64" s="7">
        <f>ROW()-ROW(D3d6[[#Headers],[ลำดับที่]])</f>
        <v>61</v>
      </c>
      <c r="B64" s="8" t="s">
        <v>350</v>
      </c>
      <c r="C64" s="1" t="s">
        <v>65</v>
      </c>
      <c r="D64" s="1">
        <v>1</v>
      </c>
      <c r="E64" s="9" t="s">
        <v>351</v>
      </c>
    </row>
    <row r="65" spans="1:5" ht="30" customHeight="1">
      <c r="A65" s="7">
        <f>ROW()-ROW(D3d6[[#Headers],[ลำดับที่]])</f>
        <v>62</v>
      </c>
      <c r="B65" s="8" t="s">
        <v>377</v>
      </c>
      <c r="C65" s="1" t="s">
        <v>65</v>
      </c>
      <c r="D65" s="1">
        <v>1</v>
      </c>
      <c r="E65" s="9" t="s">
        <v>378</v>
      </c>
    </row>
    <row r="66" spans="1:5" ht="30" customHeight="1">
      <c r="A66" s="7">
        <f>ROW()-ROW(D3d6[[#Headers],[ลำดับที่]])</f>
        <v>63</v>
      </c>
      <c r="B66" s="8" t="s">
        <v>360</v>
      </c>
      <c r="C66" s="1" t="s">
        <v>81</v>
      </c>
      <c r="D66" s="1">
        <v>1</v>
      </c>
      <c r="E66" s="9" t="s">
        <v>361</v>
      </c>
    </row>
    <row r="67" spans="1:5" ht="30" customHeight="1">
      <c r="A67" s="7">
        <f>ROW()-ROW(D3d6[[#Headers],[ลำดับที่]])</f>
        <v>64</v>
      </c>
      <c r="B67" s="8" t="s">
        <v>80</v>
      </c>
      <c r="C67" s="1" t="s">
        <v>81</v>
      </c>
      <c r="D67" s="1">
        <v>2</v>
      </c>
      <c r="E67" s="9" t="s">
        <v>385</v>
      </c>
    </row>
    <row r="68" spans="1:5" ht="30" customHeight="1">
      <c r="A68" s="7">
        <f>ROW()-ROW(D3d6[[#Headers],[ลำดับที่]])</f>
        <v>65</v>
      </c>
      <c r="B68" s="8" t="s">
        <v>303</v>
      </c>
      <c r="C68" s="1" t="s">
        <v>102</v>
      </c>
      <c r="D68" s="1">
        <v>1</v>
      </c>
      <c r="E68" s="9" t="s">
        <v>304</v>
      </c>
    </row>
    <row r="69" spans="1:5" ht="30" customHeight="1">
      <c r="A69" s="7">
        <f>ROW()-ROW(D3d6[[#Headers],[ลำดับที่]])</f>
        <v>66</v>
      </c>
      <c r="B69" s="8" t="s">
        <v>326</v>
      </c>
      <c r="C69" s="1" t="s">
        <v>102</v>
      </c>
      <c r="D69" s="1">
        <v>1</v>
      </c>
      <c r="E69" s="9" t="s">
        <v>327</v>
      </c>
    </row>
    <row r="70" spans="1:5" ht="30" customHeight="1">
      <c r="A70" s="7">
        <f>ROW()-ROW(D3d6[[#Headers],[ลำดับที่]])</f>
        <v>67</v>
      </c>
      <c r="B70" s="8" t="s">
        <v>333</v>
      </c>
      <c r="C70" s="1" t="s">
        <v>102</v>
      </c>
      <c r="D70" s="1">
        <v>1</v>
      </c>
      <c r="E70" s="9" t="s">
        <v>334</v>
      </c>
    </row>
    <row r="71" spans="1:5" ht="30" customHeight="1">
      <c r="C71" s="10" t="s">
        <v>8</v>
      </c>
      <c r="D71" s="12">
        <f>SUM(D4:D70)</f>
        <v>90</v>
      </c>
    </row>
    <row r="72" spans="1:5" ht="30" customHeight="1"/>
    <row r="73" spans="1:5" ht="30" customHeight="1"/>
    <row r="74" spans="1:5" ht="30" customHeight="1"/>
    <row r="75" spans="1:5" ht="30" customHeight="1"/>
    <row r="76" spans="1:5" ht="30" customHeight="1"/>
    <row r="77" spans="1:5" ht="30" customHeight="1"/>
    <row r="78" spans="1:5" ht="30" customHeight="1"/>
    <row r="79" spans="1:5" ht="30" customHeight="1"/>
    <row r="80" spans="1:5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4"/>
  <sheetViews>
    <sheetView tabSelected="1" workbookViewId="0">
      <selection activeCell="G22" sqref="G22"/>
    </sheetView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3" t="s">
        <v>0</v>
      </c>
      <c r="B1" s="14"/>
      <c r="C1" s="14"/>
      <c r="D1" s="14"/>
      <c r="E1" s="14"/>
    </row>
    <row r="2" spans="1:5" ht="29" customHeight="1">
      <c r="A2" s="2" t="s">
        <v>1</v>
      </c>
      <c r="B2" s="3" t="s">
        <v>13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ROW()-ROW(D3d7[[#Headers],[ลำดับที่]])</f>
        <v>1</v>
      </c>
      <c r="B4" s="8" t="s">
        <v>407</v>
      </c>
      <c r="C4" s="1" t="s">
        <v>51</v>
      </c>
      <c r="D4" s="1">
        <v>3</v>
      </c>
      <c r="E4" s="9" t="s">
        <v>408</v>
      </c>
    </row>
    <row r="5" spans="1:5" ht="29" customHeight="1">
      <c r="A5" s="7">
        <f>ROW()-ROW(D3d7[[#Headers],[ลำดับที่]])</f>
        <v>2</v>
      </c>
      <c r="B5" s="8" t="s">
        <v>420</v>
      </c>
      <c r="C5" s="1" t="s">
        <v>51</v>
      </c>
      <c r="D5" s="1">
        <v>2</v>
      </c>
      <c r="E5" s="9" t="s">
        <v>421</v>
      </c>
    </row>
    <row r="6" spans="1:5" ht="29" customHeight="1">
      <c r="A6" s="7">
        <f>ROW()-ROW(D3d7[[#Headers],[ลำดับที่]])</f>
        <v>3</v>
      </c>
      <c r="B6" s="8" t="s">
        <v>426</v>
      </c>
      <c r="C6" s="1" t="s">
        <v>51</v>
      </c>
      <c r="D6" s="1">
        <v>4</v>
      </c>
      <c r="E6" s="9" t="s">
        <v>427</v>
      </c>
    </row>
    <row r="7" spans="1:5" ht="29" customHeight="1">
      <c r="A7" s="7">
        <f>ROW()-ROW(D3d7[[#Headers],[ลำดับที่]])</f>
        <v>4</v>
      </c>
      <c r="B7" s="8" t="s">
        <v>413</v>
      </c>
      <c r="C7" s="1" t="s">
        <v>33</v>
      </c>
      <c r="D7" s="1">
        <v>19</v>
      </c>
      <c r="E7" s="9" t="s">
        <v>414</v>
      </c>
    </row>
    <row r="8" spans="1:5" ht="29" customHeight="1">
      <c r="A8" s="7">
        <f>ROW()-ROW(D3d7[[#Headers],[ลำดับที่]])</f>
        <v>5</v>
      </c>
      <c r="B8" s="8" t="s">
        <v>437</v>
      </c>
      <c r="C8" s="1" t="s">
        <v>33</v>
      </c>
      <c r="D8" s="1">
        <v>1</v>
      </c>
      <c r="E8" s="9" t="s">
        <v>436</v>
      </c>
    </row>
    <row r="9" spans="1:5" ht="29" customHeight="1">
      <c r="A9" s="7">
        <f>ROW()-ROW(D3d7[[#Headers],[ลำดับที่]])</f>
        <v>6</v>
      </c>
      <c r="B9" s="8" t="s">
        <v>438</v>
      </c>
      <c r="C9" s="1" t="s">
        <v>33</v>
      </c>
      <c r="D9" s="1">
        <v>1</v>
      </c>
      <c r="E9" s="9" t="s">
        <v>439</v>
      </c>
    </row>
    <row r="10" spans="1:5" ht="29" customHeight="1">
      <c r="A10" s="7">
        <f>ROW()-ROW(D3d7[[#Headers],[ลำดับที่]])</f>
        <v>7</v>
      </c>
      <c r="B10" s="8" t="s">
        <v>312</v>
      </c>
      <c r="C10" s="1" t="s">
        <v>84</v>
      </c>
      <c r="D10" s="1">
        <v>1</v>
      </c>
      <c r="E10" s="9" t="s">
        <v>392</v>
      </c>
    </row>
    <row r="11" spans="1:5" ht="29" customHeight="1">
      <c r="A11" s="7">
        <f>ROW()-ROW(D3d7[[#Headers],[ลำดับที่]])</f>
        <v>8</v>
      </c>
      <c r="B11" s="8" t="s">
        <v>394</v>
      </c>
      <c r="C11" s="1" t="s">
        <v>84</v>
      </c>
      <c r="D11" s="1">
        <v>1</v>
      </c>
      <c r="E11" s="9" t="s">
        <v>395</v>
      </c>
    </row>
    <row r="12" spans="1:5" ht="29" customHeight="1">
      <c r="A12" s="7">
        <f>ROW()-ROW(D3d7[[#Headers],[ลำดับที่]])</f>
        <v>9</v>
      </c>
      <c r="B12" s="8" t="s">
        <v>375</v>
      </c>
      <c r="C12" s="1" t="s">
        <v>84</v>
      </c>
      <c r="D12" s="1">
        <v>1</v>
      </c>
      <c r="E12" s="9" t="s">
        <v>417</v>
      </c>
    </row>
    <row r="13" spans="1:5" ht="29" customHeight="1">
      <c r="A13" s="7">
        <f>ROW()-ROW(D3d7[[#Headers],[ลำดับที่]])</f>
        <v>10</v>
      </c>
      <c r="B13" s="8" t="s">
        <v>440</v>
      </c>
      <c r="C13" s="1" t="s">
        <v>84</v>
      </c>
      <c r="D13" s="1">
        <v>2</v>
      </c>
      <c r="E13" s="9" t="s">
        <v>441</v>
      </c>
    </row>
    <row r="14" spans="1:5" ht="29" customHeight="1">
      <c r="A14" s="7">
        <f>ROW()-ROW(D3d7[[#Headers],[ลำดับที่]])</f>
        <v>11</v>
      </c>
      <c r="B14" s="8" t="s">
        <v>41</v>
      </c>
      <c r="C14" s="1" t="s">
        <v>42</v>
      </c>
      <c r="D14" s="1">
        <v>1</v>
      </c>
      <c r="E14" s="9" t="s">
        <v>401</v>
      </c>
    </row>
    <row r="15" spans="1:5" ht="29" customHeight="1">
      <c r="A15" s="7">
        <f>ROW()-ROW(D3d7[[#Headers],[ลำดับที่]])</f>
        <v>12</v>
      </c>
      <c r="B15" s="8" t="s">
        <v>390</v>
      </c>
      <c r="C15" s="1" t="s">
        <v>48</v>
      </c>
      <c r="D15" s="1">
        <v>1</v>
      </c>
      <c r="E15" s="9" t="s">
        <v>391</v>
      </c>
    </row>
    <row r="16" spans="1:5" ht="29" customHeight="1">
      <c r="A16" s="7">
        <f>ROW()-ROW(D3d7[[#Headers],[ลำดับที่]])</f>
        <v>13</v>
      </c>
      <c r="B16" s="8" t="s">
        <v>191</v>
      </c>
      <c r="C16" s="1" t="s">
        <v>120</v>
      </c>
      <c r="D16" s="1">
        <v>1</v>
      </c>
      <c r="E16" s="9" t="s">
        <v>402</v>
      </c>
    </row>
    <row r="17" spans="1:5" ht="29" customHeight="1">
      <c r="A17" s="7">
        <f>ROW()-ROW(D3d7[[#Headers],[ลำดับที่]])</f>
        <v>14</v>
      </c>
      <c r="B17" s="8" t="s">
        <v>396</v>
      </c>
      <c r="C17" s="1" t="s">
        <v>92</v>
      </c>
      <c r="D17" s="1">
        <v>1</v>
      </c>
      <c r="E17" s="9" t="s">
        <v>397</v>
      </c>
    </row>
    <row r="18" spans="1:5" ht="29" customHeight="1">
      <c r="A18" s="7">
        <f>ROW()-ROW(D3d7[[#Headers],[ลำดับที่]])</f>
        <v>15</v>
      </c>
      <c r="B18" s="8" t="s">
        <v>424</v>
      </c>
      <c r="C18" s="1" t="s">
        <v>92</v>
      </c>
      <c r="D18" s="1">
        <v>1</v>
      </c>
      <c r="E18" s="9" t="s">
        <v>425</v>
      </c>
    </row>
    <row r="19" spans="1:5" ht="29" customHeight="1">
      <c r="A19" s="7">
        <f>ROW()-ROW(D3d7[[#Headers],[ลำดับที่]])</f>
        <v>16</v>
      </c>
      <c r="B19" s="8" t="s">
        <v>415</v>
      </c>
      <c r="C19" s="1" t="s">
        <v>175</v>
      </c>
      <c r="D19" s="1">
        <v>1</v>
      </c>
      <c r="E19" s="9" t="s">
        <v>416</v>
      </c>
    </row>
    <row r="20" spans="1:5" ht="29" customHeight="1">
      <c r="A20" s="7">
        <f>ROW()-ROW(D3d7[[#Headers],[ลำดับที่]])</f>
        <v>17</v>
      </c>
      <c r="B20" s="8" t="s">
        <v>433</v>
      </c>
      <c r="C20" s="1" t="s">
        <v>175</v>
      </c>
      <c r="D20" s="1">
        <v>4</v>
      </c>
      <c r="E20" s="9" t="s">
        <v>434</v>
      </c>
    </row>
    <row r="21" spans="1:5" ht="29" customHeight="1">
      <c r="A21" s="7">
        <f>ROW()-ROW(D3d7[[#Headers],[ลำดับที่]])</f>
        <v>18</v>
      </c>
      <c r="B21" s="8" t="s">
        <v>399</v>
      </c>
      <c r="C21" s="1" t="s">
        <v>39</v>
      </c>
      <c r="D21" s="1">
        <v>3</v>
      </c>
      <c r="E21" s="9" t="s">
        <v>400</v>
      </c>
    </row>
    <row r="22" spans="1:5" ht="29" customHeight="1">
      <c r="A22" s="7">
        <f>ROW()-ROW(D3d7[[#Headers],[ลำดับที่]])</f>
        <v>19</v>
      </c>
      <c r="B22" s="8" t="s">
        <v>410</v>
      </c>
      <c r="C22" s="1" t="s">
        <v>39</v>
      </c>
      <c r="D22" s="1">
        <v>2</v>
      </c>
      <c r="E22" s="9" t="s">
        <v>409</v>
      </c>
    </row>
    <row r="23" spans="1:5" ht="29" customHeight="1">
      <c r="A23" s="7">
        <f>ROW()-ROW(D3d7[[#Headers],[ลำดับที่]])</f>
        <v>20</v>
      </c>
      <c r="B23" s="8" t="s">
        <v>399</v>
      </c>
      <c r="C23" s="1" t="s">
        <v>39</v>
      </c>
      <c r="D23" s="1">
        <v>2</v>
      </c>
      <c r="E23" s="9" t="s">
        <v>428</v>
      </c>
    </row>
    <row r="24" spans="1:5" ht="29" customHeight="1">
      <c r="A24" s="7">
        <f>ROW()-ROW(D3d7[[#Headers],[ลำดับที่]])</f>
        <v>21</v>
      </c>
      <c r="B24" s="8" t="s">
        <v>55</v>
      </c>
      <c r="C24" s="1" t="s">
        <v>56</v>
      </c>
      <c r="D24" s="1">
        <v>1</v>
      </c>
      <c r="E24" s="9" t="s">
        <v>393</v>
      </c>
    </row>
    <row r="25" spans="1:5" ht="29" customHeight="1">
      <c r="A25" s="7">
        <f>ROW()-ROW(D3d7[[#Headers],[ลำดับที่]])</f>
        <v>22</v>
      </c>
      <c r="B25" s="8" t="s">
        <v>299</v>
      </c>
      <c r="C25" s="1" t="s">
        <v>56</v>
      </c>
      <c r="D25" s="1">
        <v>1</v>
      </c>
      <c r="E25" s="9" t="s">
        <v>398</v>
      </c>
    </row>
    <row r="26" spans="1:5" ht="29" customHeight="1">
      <c r="A26" s="7">
        <f>ROW()-ROW(D3d7[[#Headers],[ลำดับที่]])</f>
        <v>23</v>
      </c>
      <c r="B26" s="8" t="s">
        <v>418</v>
      </c>
      <c r="C26" s="1" t="s">
        <v>56</v>
      </c>
      <c r="D26" s="1">
        <v>1</v>
      </c>
      <c r="E26" s="9" t="s">
        <v>419</v>
      </c>
    </row>
    <row r="27" spans="1:5" ht="29" customHeight="1">
      <c r="A27" s="7">
        <f>ROW()-ROW(D3d7[[#Headers],[ลำดับที่]])</f>
        <v>24</v>
      </c>
      <c r="B27" s="8" t="s">
        <v>431</v>
      </c>
      <c r="C27" s="1" t="s">
        <v>56</v>
      </c>
      <c r="D27" s="1">
        <v>1</v>
      </c>
      <c r="E27" s="9" t="s">
        <v>432</v>
      </c>
    </row>
    <row r="28" spans="1:5" ht="29" customHeight="1">
      <c r="A28" s="7">
        <f>ROW()-ROW(D3d7[[#Headers],[ลำดับที่]])</f>
        <v>25</v>
      </c>
      <c r="B28" s="8" t="s">
        <v>403</v>
      </c>
      <c r="C28" s="1" t="s">
        <v>65</v>
      </c>
      <c r="D28" s="1">
        <v>3</v>
      </c>
      <c r="E28" s="9" t="s">
        <v>404</v>
      </c>
    </row>
    <row r="29" spans="1:5" ht="29" customHeight="1">
      <c r="A29" s="7">
        <f>ROW()-ROW(D3d7[[#Headers],[ลำดับที่]])</f>
        <v>26</v>
      </c>
      <c r="B29" s="8" t="s">
        <v>411</v>
      </c>
      <c r="C29" s="1" t="s">
        <v>65</v>
      </c>
      <c r="D29" s="1">
        <v>1</v>
      </c>
      <c r="E29" s="9" t="s">
        <v>412</v>
      </c>
    </row>
    <row r="30" spans="1:5" ht="29" customHeight="1">
      <c r="A30" s="7">
        <f>ROW()-ROW(D3d7[[#Headers],[ลำดับที่]])</f>
        <v>27</v>
      </c>
      <c r="B30" s="8" t="s">
        <v>429</v>
      </c>
      <c r="C30" s="1" t="s">
        <v>65</v>
      </c>
      <c r="D30" s="1">
        <v>3</v>
      </c>
      <c r="E30" s="9" t="s">
        <v>430</v>
      </c>
    </row>
    <row r="31" spans="1:5" ht="29" customHeight="1">
      <c r="A31" s="7">
        <f>ROW()-ROW(D3d7[[#Headers],[ลำดับที่]])</f>
        <v>28</v>
      </c>
      <c r="B31" s="8" t="s">
        <v>305</v>
      </c>
      <c r="C31" s="1" t="s">
        <v>65</v>
      </c>
      <c r="D31" s="1">
        <v>4</v>
      </c>
      <c r="E31" s="9" t="s">
        <v>435</v>
      </c>
    </row>
    <row r="32" spans="1:5" ht="29" customHeight="1">
      <c r="A32" s="7">
        <f>ROW()-ROW(D3d7[[#Headers],[ลำดับที่]])</f>
        <v>29</v>
      </c>
      <c r="B32" s="8" t="s">
        <v>422</v>
      </c>
      <c r="C32" s="1" t="s">
        <v>81</v>
      </c>
      <c r="D32" s="1">
        <v>2</v>
      </c>
      <c r="E32" s="9" t="s">
        <v>423</v>
      </c>
    </row>
    <row r="33" spans="1:5" ht="29" customHeight="1">
      <c r="A33" s="7">
        <f>ROW()-ROW(D3d7[[#Headers],[ลำดับที่]])</f>
        <v>30</v>
      </c>
      <c r="B33" s="8" t="s">
        <v>405</v>
      </c>
      <c r="C33" s="1" t="s">
        <v>102</v>
      </c>
      <c r="D33" s="1">
        <v>4</v>
      </c>
      <c r="E33" s="9" t="s">
        <v>406</v>
      </c>
    </row>
    <row r="34" spans="1:5" ht="29" customHeight="1">
      <c r="C34" s="10" t="s">
        <v>8</v>
      </c>
      <c r="D34" s="11">
        <f>SUM(D4:D33)</f>
        <v>73</v>
      </c>
    </row>
    <row r="35" spans="1:5" ht="29" customHeight="1"/>
    <row r="36" spans="1:5" ht="29" customHeight="1"/>
    <row r="37" spans="1:5" ht="29" customHeight="1"/>
    <row r="38" spans="1:5" ht="29" customHeight="1"/>
    <row r="39" spans="1:5" ht="29" customHeight="1"/>
    <row r="40" spans="1:5" ht="29" customHeight="1"/>
    <row r="41" spans="1:5" ht="29" customHeight="1"/>
    <row r="42" spans="1:5" ht="29" customHeight="1"/>
    <row r="43" spans="1:5" ht="29" customHeight="1"/>
    <row r="44" spans="1:5" ht="29" customHeight="1"/>
    <row r="45" spans="1:5" ht="29" customHeight="1"/>
    <row r="46" spans="1:5" ht="29" customHeight="1"/>
    <row r="47" spans="1:5" ht="29" customHeight="1"/>
    <row r="48" spans="1:5" ht="29" customHeight="1"/>
    <row r="49" ht="29" customHeight="1"/>
    <row r="50" ht="29" customHeight="1"/>
    <row r="51" ht="29" customHeight="1"/>
    <row r="52" ht="29" customHeight="1"/>
    <row r="53" ht="29" customHeight="1"/>
    <row r="54" ht="29" customHeight="1"/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3" t="s">
        <v>0</v>
      </c>
      <c r="B1" s="14"/>
      <c r="C1" s="14"/>
      <c r="D1" s="14"/>
      <c r="E1" s="14"/>
    </row>
    <row r="2" spans="1:5" ht="29" customHeight="1">
      <c r="A2" s="2" t="s">
        <v>1</v>
      </c>
      <c r="B2" s="3" t="s">
        <v>14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ROW()-ROW(D3d8[[#Headers],[ลำดับที่]])</f>
        <v>1</v>
      </c>
      <c r="B4" s="8"/>
      <c r="C4" s="1"/>
      <c r="D4" s="1"/>
      <c r="E4" s="9"/>
    </row>
    <row r="5" spans="1:5" ht="29" customHeight="1">
      <c r="A5" s="7">
        <f>ROW()-ROW(D3d8[[#Headers],[ลำดับที่]])</f>
        <v>2</v>
      </c>
      <c r="B5" s="8"/>
      <c r="C5" s="1"/>
      <c r="D5" s="1"/>
      <c r="E5" s="9"/>
    </row>
    <row r="6" spans="1:5" ht="29" customHeight="1">
      <c r="A6" s="7">
        <f>ROW()-ROW(D3d8[[#Headers],[ลำดับที่]])</f>
        <v>3</v>
      </c>
      <c r="B6" s="8"/>
      <c r="C6" s="1"/>
      <c r="D6" s="1"/>
      <c r="E6" s="9"/>
    </row>
    <row r="7" spans="1:5" ht="29" customHeight="1">
      <c r="A7" s="7">
        <f>ROW()-ROW(D3d8[[#Headers],[ลำดับที่]])</f>
        <v>4</v>
      </c>
      <c r="B7" s="8"/>
      <c r="C7" s="1"/>
      <c r="D7" s="1"/>
      <c r="E7" s="9"/>
    </row>
    <row r="8" spans="1:5" ht="29" customHeight="1">
      <c r="A8" s="7">
        <f>ROW()-ROW(D3d8[[#Headers],[ลำดับที่]])</f>
        <v>5</v>
      </c>
      <c r="B8" s="8"/>
      <c r="C8" s="1"/>
      <c r="D8" s="1"/>
      <c r="E8" s="9"/>
    </row>
    <row r="9" spans="1:5" ht="29" customHeight="1">
      <c r="A9" s="7">
        <f>ROW()-ROW(D3d8[[#Headers],[ลำดับที่]])</f>
        <v>6</v>
      </c>
      <c r="B9" s="8"/>
      <c r="C9" s="1"/>
      <c r="D9" s="1"/>
      <c r="E9" s="9"/>
    </row>
    <row r="10" spans="1:5" ht="29" customHeight="1">
      <c r="A10" s="7">
        <f>ROW()-ROW(D3d8[[#Headers],[ลำดับที่]])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ROW()-ROW(D3d8[[#Headers],[ลำดับที่]])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ROW()-ROW(D3d8[[#Headers],[ลำดับที่]])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ROW()-ROW(D3d8[[#Headers],[ลำดับที่]])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ROW()-ROW(D3d8[[#Headers],[ลำดับที่]])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ROW()-ROW(D3d8[[#Headers],[ลำดับที่]])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ROW()-ROW(D3d8[[#Headers],[ลำดับที่]])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ROW()-ROW(D3d8[[#Headers],[ลำดับที่]])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ROW()-ROW(D3d8[[#Headers],[ลำดับที่]])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ROW()-ROW(D3d8[[#Headers],[ลำดับที่]])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ROW()-ROW(D3d8[[#Headers],[ลำดับที่]])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ROW()-ROW(D3d8[[#Headers],[ลำดับที่]])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ROW()-ROW(D3d8[[#Headers],[ลำดับที่]])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ROW()-ROW(D3d8[[#Headers],[ลำดับที่]])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ROW()-ROW(D3d8[[#Headers],[ลำดับที่]])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ROW()-ROW(D3d8[[#Headers],[ลำดับที่]])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ROW()-ROW(D3d8[[#Headers],[ลำดับที่]])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ROW()-ROW(D3d8[[#Headers],[ลำดับที่]])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ROW()-ROW(D3d8[[#Headers],[ลำดับที่]])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ROW()-ROW(D3d8[[#Headers],[ลำดับที่]])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ROW()-ROW(D3d8[[#Headers],[ลำดับที่]])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ROW()-ROW(D3d8[[#Headers],[ลำดับที่]])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ROW()-ROW(D3d8[[#Headers],[ลำดับที่]])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ROW()-ROW(D3d8[[#Headers],[ลำดับที่]])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ROW()-ROW(D3d8[[#Headers],[ลำดับที่]])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ROW()-ROW(D3d8[[#Headers],[ลำดับที่]])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ROW()-ROW(D3d8[[#Headers],[ลำดับที่]])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ROW()-ROW(D3d8[[#Headers],[ลำดับที่]])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ROW()-ROW(D3d8[[#Headers],[ลำดับที่]])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ROW()-ROW(D3d8[[#Headers],[ลำดับที่]])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ROW()-ROW(D3d8[[#Headers],[ลำดับที่]])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ROW()-ROW(D3d8[[#Headers],[ลำดับที่]])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ROW()-ROW(D3d8[[#Headers],[ลำดับที่]])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ROW()-ROW(D3d8[[#Headers],[ลำดับที่]])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ROW()-ROW(D3d8[[#Headers],[ลำดับที่]])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ROW()-ROW(D3d8[[#Headers],[ลำดับที่]])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ROW()-ROW(D3d8[[#Headers],[ลำดับที่]])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ROW()-ROW(D3d8[[#Headers],[ลำดับที่]])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ROW()-ROW(D3d8[[#Headers],[ลำดับที่]])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ROW()-ROW(D3d8[[#Headers],[ลำดับที่]])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ROW()-ROW(D3d8[[#Headers],[ลำดับที่]])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ROW()-ROW(D3d8[[#Headers],[ลำดับที่]])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ROW()-ROW(D3d8[[#Headers],[ลำดับที่]])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ROW()-ROW(D3d8[[#Headers],[ลำดับที่]])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3" t="s">
        <v>0</v>
      </c>
      <c r="B1" s="14"/>
      <c r="C1" s="14"/>
      <c r="D1" s="14"/>
      <c r="E1" s="14"/>
    </row>
    <row r="2" spans="1:5" ht="29" customHeight="1">
      <c r="A2" s="2" t="s">
        <v>1</v>
      </c>
      <c r="B2" s="3" t="s">
        <v>15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ROW()-ROW(D3d9[[#Headers],[ลำดับที่]])</f>
        <v>1</v>
      </c>
      <c r="B4" s="8"/>
      <c r="C4" s="1"/>
      <c r="D4" s="1"/>
      <c r="E4" s="9"/>
    </row>
    <row r="5" spans="1:5" ht="29" customHeight="1">
      <c r="A5" s="7">
        <f>ROW()-ROW(D3d9[[#Headers],[ลำดับที่]])</f>
        <v>2</v>
      </c>
      <c r="B5" s="8"/>
      <c r="C5" s="1"/>
      <c r="D5" s="1"/>
      <c r="E5" s="9"/>
    </row>
    <row r="6" spans="1:5" ht="29" customHeight="1">
      <c r="A6" s="7">
        <f>ROW()-ROW(D3d9[[#Headers],[ลำดับที่]])</f>
        <v>3</v>
      </c>
      <c r="B6" s="8"/>
      <c r="C6" s="1"/>
      <c r="D6" s="1"/>
      <c r="E6" s="9"/>
    </row>
    <row r="7" spans="1:5" ht="29" customHeight="1">
      <c r="A7" s="7">
        <f>ROW()-ROW(D3d9[[#Headers],[ลำดับที่]])</f>
        <v>4</v>
      </c>
      <c r="B7" s="8"/>
      <c r="C7" s="1"/>
      <c r="D7" s="1"/>
      <c r="E7" s="9"/>
    </row>
    <row r="8" spans="1:5" ht="29" customHeight="1">
      <c r="A8" s="7">
        <f>ROW()-ROW(D3d9[[#Headers],[ลำดับที่]])</f>
        <v>5</v>
      </c>
      <c r="B8" s="8"/>
      <c r="C8" s="1"/>
      <c r="D8" s="1"/>
      <c r="E8" s="9"/>
    </row>
    <row r="9" spans="1:5" ht="29" customHeight="1">
      <c r="A9" s="7">
        <f>ROW()-ROW(D3d9[[#Headers],[ลำดับที่]])</f>
        <v>6</v>
      </c>
      <c r="B9" s="8"/>
      <c r="C9" s="1"/>
      <c r="D9" s="1"/>
      <c r="E9" s="9"/>
    </row>
    <row r="10" spans="1:5" ht="29" customHeight="1">
      <c r="A10" s="7">
        <f>ROW()-ROW(D3d9[[#Headers],[ลำดับที่]])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ROW()-ROW(D3d9[[#Headers],[ลำดับที่]])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ROW()-ROW(D3d9[[#Headers],[ลำดับที่]])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ROW()-ROW(D3d9[[#Headers],[ลำดับที่]])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ROW()-ROW(D3d9[[#Headers],[ลำดับที่]])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ROW()-ROW(D3d9[[#Headers],[ลำดับที่]])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ROW()-ROW(D3d9[[#Headers],[ลำดับที่]])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ROW()-ROW(D3d9[[#Headers],[ลำดับที่]])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ROW()-ROW(D3d9[[#Headers],[ลำดับที่]])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ROW()-ROW(D3d9[[#Headers],[ลำดับที่]])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ROW()-ROW(D3d9[[#Headers],[ลำดับที่]])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ROW()-ROW(D3d9[[#Headers],[ลำดับที่]])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ROW()-ROW(D3d9[[#Headers],[ลำดับที่]])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ROW()-ROW(D3d9[[#Headers],[ลำดับที่]])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ROW()-ROW(D3d9[[#Headers],[ลำดับที่]])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ROW()-ROW(D3d9[[#Headers],[ลำดับที่]])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ROW()-ROW(D3d9[[#Headers],[ลำดับที่]])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ROW()-ROW(D3d9[[#Headers],[ลำดับที่]])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ROW()-ROW(D3d9[[#Headers],[ลำดับที่]])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ROW()-ROW(D3d9[[#Headers],[ลำดับที่]])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ROW()-ROW(D3d9[[#Headers],[ลำดับที่]])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ROW()-ROW(D3d9[[#Headers],[ลำดับที่]])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ROW()-ROW(D3d9[[#Headers],[ลำดับที่]])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ROW()-ROW(D3d9[[#Headers],[ลำดับที่]])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ROW()-ROW(D3d9[[#Headers],[ลำดับที่]])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ROW()-ROW(D3d9[[#Headers],[ลำดับที่]])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ROW()-ROW(D3d9[[#Headers],[ลำดับที่]])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ROW()-ROW(D3d9[[#Headers],[ลำดับที่]])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ROW()-ROW(D3d9[[#Headers],[ลำดับที่]])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ROW()-ROW(D3d9[[#Headers],[ลำดับที่]])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ROW()-ROW(D3d9[[#Headers],[ลำดับที่]])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ROW()-ROW(D3d9[[#Headers],[ลำดับที่]])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ROW()-ROW(D3d9[[#Headers],[ลำดับที่]])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ROW()-ROW(D3d9[[#Headers],[ลำดับที่]])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ROW()-ROW(D3d9[[#Headers],[ลำดับที่]])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ROW()-ROW(D3d9[[#Headers],[ลำดับที่]])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ROW()-ROW(D3d9[[#Headers],[ลำดับที่]])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ROW()-ROW(D3d9[[#Headers],[ลำดับที่]])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ROW()-ROW(D3d9[[#Headers],[ลำดับที่]])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ROW()-ROW(D3d9[[#Headers],[ลำดับที่]])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ROW()-ROW(D3d9[[#Headers],[ลำดับที่]])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ROW()-ROW(D3d9[[#Headers],[ลำดับที่]])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ROW()-ROW(D3d9[[#Headers],[ลำดับที่]])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ROW()-ROW(D3d9[[#Headers],[ลำดับที่]])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3" t="s">
        <v>0</v>
      </c>
      <c r="B1" s="14"/>
      <c r="C1" s="14"/>
      <c r="D1" s="14"/>
      <c r="E1" s="14"/>
    </row>
    <row r="2" spans="1:5" ht="29" customHeight="1">
      <c r="A2" s="2" t="s">
        <v>1</v>
      </c>
      <c r="B2" s="3" t="s">
        <v>16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ROW()-ROW(D3d10[[#Headers],[ลำดับที่]])</f>
        <v>1</v>
      </c>
      <c r="B4" s="8"/>
      <c r="C4" s="1"/>
      <c r="D4" s="1"/>
      <c r="E4" s="9"/>
    </row>
    <row r="5" spans="1:5" ht="29" customHeight="1">
      <c r="A5" s="7">
        <f>ROW()-ROW(D3d10[[#Headers],[ลำดับที่]])</f>
        <v>2</v>
      </c>
      <c r="B5" s="8"/>
      <c r="C5" s="1"/>
      <c r="D5" s="1"/>
      <c r="E5" s="9"/>
    </row>
    <row r="6" spans="1:5" ht="29" customHeight="1">
      <c r="A6" s="7">
        <f>ROW()-ROW(D3d10[[#Headers],[ลำดับที่]])</f>
        <v>3</v>
      </c>
      <c r="B6" s="8"/>
      <c r="C6" s="1"/>
      <c r="D6" s="1"/>
      <c r="E6" s="9"/>
    </row>
    <row r="7" spans="1:5" ht="29" customHeight="1">
      <c r="A7" s="7">
        <f>ROW()-ROW(D3d10[[#Headers],[ลำดับที่]])</f>
        <v>4</v>
      </c>
      <c r="B7" s="8"/>
      <c r="C7" s="1"/>
      <c r="D7" s="1"/>
      <c r="E7" s="9"/>
    </row>
    <row r="8" spans="1:5" ht="29" customHeight="1">
      <c r="A8" s="7">
        <f>ROW()-ROW(D3d10[[#Headers],[ลำดับที่]])</f>
        <v>5</v>
      </c>
      <c r="B8" s="8"/>
      <c r="C8" s="1"/>
      <c r="D8" s="1"/>
      <c r="E8" s="9"/>
    </row>
    <row r="9" spans="1:5" ht="29" customHeight="1">
      <c r="A9" s="7">
        <f>ROW()-ROW(D3d10[[#Headers],[ลำดับที่]])</f>
        <v>6</v>
      </c>
      <c r="B9" s="8"/>
      <c r="C9" s="1"/>
      <c r="D9" s="1"/>
      <c r="E9" s="9"/>
    </row>
    <row r="10" spans="1:5" ht="29" customHeight="1">
      <c r="A10" s="7">
        <f>ROW()-ROW(D3d10[[#Headers],[ลำดับที่]])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ROW()-ROW(D3d10[[#Headers],[ลำดับที่]])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ROW()-ROW(D3d10[[#Headers],[ลำดับที่]])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ROW()-ROW(D3d10[[#Headers],[ลำดับที่]])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ROW()-ROW(D3d10[[#Headers],[ลำดับที่]])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ROW()-ROW(D3d10[[#Headers],[ลำดับที่]])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ROW()-ROW(D3d10[[#Headers],[ลำดับที่]])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ROW()-ROW(D3d10[[#Headers],[ลำดับที่]])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ROW()-ROW(D3d10[[#Headers],[ลำดับที่]])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ROW()-ROW(D3d10[[#Headers],[ลำดับที่]])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ROW()-ROW(D3d10[[#Headers],[ลำดับที่]])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ROW()-ROW(D3d10[[#Headers],[ลำดับที่]])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ROW()-ROW(D3d10[[#Headers],[ลำดับที่]])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ROW()-ROW(D3d10[[#Headers],[ลำดับที่]])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ROW()-ROW(D3d10[[#Headers],[ลำดับที่]])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ROW()-ROW(D3d10[[#Headers],[ลำดับที่]])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ROW()-ROW(D3d10[[#Headers],[ลำดับที่]])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ROW()-ROW(D3d10[[#Headers],[ลำดับที่]])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ROW()-ROW(D3d10[[#Headers],[ลำดับที่]])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ROW()-ROW(D3d10[[#Headers],[ลำดับที่]])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ROW()-ROW(D3d10[[#Headers],[ลำดับที่]])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ROW()-ROW(D3d10[[#Headers],[ลำดับที่]])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ROW()-ROW(D3d10[[#Headers],[ลำดับที่]])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ROW()-ROW(D3d10[[#Headers],[ลำดับที่]])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ROW()-ROW(D3d10[[#Headers],[ลำดับที่]])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ROW()-ROW(D3d10[[#Headers],[ลำดับที่]])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ROW()-ROW(D3d10[[#Headers],[ลำดับที่]])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ROW()-ROW(D3d10[[#Headers],[ลำดับที่]])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ROW()-ROW(D3d10[[#Headers],[ลำดับที่]])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ROW()-ROW(D3d10[[#Headers],[ลำดับที่]])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ROW()-ROW(D3d10[[#Headers],[ลำดับที่]])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ROW()-ROW(D3d10[[#Headers],[ลำดับที่]])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ROW()-ROW(D3d10[[#Headers],[ลำดับที่]])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ROW()-ROW(D3d10[[#Headers],[ลำดับที่]])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ROW()-ROW(D3d10[[#Headers],[ลำดับที่]])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ROW()-ROW(D3d10[[#Headers],[ลำดับที่]])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ROW()-ROW(D3d10[[#Headers],[ลำดับที่]])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ROW()-ROW(D3d10[[#Headers],[ลำดับที่]])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ROW()-ROW(D3d10[[#Headers],[ลำดับที่]])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ROW()-ROW(D3d10[[#Headers],[ลำดับที่]])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ROW()-ROW(D3d10[[#Headers],[ลำดับที่]])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ROW()-ROW(D3d10[[#Headers],[ลำดับที่]])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ROW()-ROW(D3d10[[#Headers],[ลำดับที่]])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ROW()-ROW(D3d10[[#Headers],[ลำดับที่]])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3" t="s">
        <v>0</v>
      </c>
      <c r="B1" s="14"/>
      <c r="C1" s="14"/>
      <c r="D1" s="14"/>
      <c r="E1" s="14"/>
    </row>
    <row r="2" spans="1:5" ht="29" customHeight="1">
      <c r="A2" s="2" t="s">
        <v>1</v>
      </c>
      <c r="B2" s="3" t="s">
        <v>17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ROW()-ROW(D3d11[[#Headers],[ลำดับที่]])</f>
        <v>1</v>
      </c>
      <c r="B4" s="8"/>
      <c r="C4" s="1"/>
      <c r="D4" s="1"/>
      <c r="E4" s="9"/>
    </row>
    <row r="5" spans="1:5" ht="29" customHeight="1">
      <c r="A5" s="7">
        <f>ROW()-ROW(D3d11[[#Headers],[ลำดับที่]])</f>
        <v>2</v>
      </c>
      <c r="B5" s="8"/>
      <c r="C5" s="1"/>
      <c r="D5" s="1"/>
      <c r="E5" s="9"/>
    </row>
    <row r="6" spans="1:5" ht="29" customHeight="1">
      <c r="A6" s="7">
        <f>ROW()-ROW(D3d11[[#Headers],[ลำดับที่]])</f>
        <v>3</v>
      </c>
      <c r="B6" s="8"/>
      <c r="C6" s="1"/>
      <c r="D6" s="1"/>
      <c r="E6" s="9"/>
    </row>
    <row r="7" spans="1:5" ht="29" customHeight="1">
      <c r="A7" s="7">
        <f>ROW()-ROW(D3d11[[#Headers],[ลำดับที่]])</f>
        <v>4</v>
      </c>
      <c r="B7" s="8"/>
      <c r="C7" s="1"/>
      <c r="D7" s="1"/>
      <c r="E7" s="9"/>
    </row>
    <row r="8" spans="1:5" ht="29" customHeight="1">
      <c r="A8" s="7">
        <f>ROW()-ROW(D3d11[[#Headers],[ลำดับที่]])</f>
        <v>5</v>
      </c>
      <c r="B8" s="8"/>
      <c r="C8" s="1"/>
      <c r="D8" s="1"/>
      <c r="E8" s="9"/>
    </row>
    <row r="9" spans="1:5" ht="29" customHeight="1">
      <c r="A9" s="7">
        <f>ROW()-ROW(D3d11[[#Headers],[ลำดับที่]])</f>
        <v>6</v>
      </c>
      <c r="B9" s="8"/>
      <c r="C9" s="1"/>
      <c r="D9" s="1"/>
      <c r="E9" s="9"/>
    </row>
    <row r="10" spans="1:5" ht="29" customHeight="1">
      <c r="A10" s="7">
        <f>ROW()-ROW(D3d11[[#Headers],[ลำดับที่]])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ROW()-ROW(D3d11[[#Headers],[ลำดับที่]])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ROW()-ROW(D3d11[[#Headers],[ลำดับที่]])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ROW()-ROW(D3d11[[#Headers],[ลำดับที่]])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ROW()-ROW(D3d11[[#Headers],[ลำดับที่]])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ROW()-ROW(D3d11[[#Headers],[ลำดับที่]])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ROW()-ROW(D3d11[[#Headers],[ลำดับที่]])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ROW()-ROW(D3d11[[#Headers],[ลำดับที่]])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ROW()-ROW(D3d11[[#Headers],[ลำดับที่]])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ROW()-ROW(D3d11[[#Headers],[ลำดับที่]])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ROW()-ROW(D3d11[[#Headers],[ลำดับที่]])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ROW()-ROW(D3d11[[#Headers],[ลำดับที่]])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ROW()-ROW(D3d11[[#Headers],[ลำดับที่]])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ROW()-ROW(D3d11[[#Headers],[ลำดับที่]])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ROW()-ROW(D3d11[[#Headers],[ลำดับที่]])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ROW()-ROW(D3d11[[#Headers],[ลำดับที่]])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ROW()-ROW(D3d11[[#Headers],[ลำดับที่]])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ROW()-ROW(D3d11[[#Headers],[ลำดับที่]])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ROW()-ROW(D3d11[[#Headers],[ลำดับที่]])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ROW()-ROW(D3d11[[#Headers],[ลำดับที่]])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ROW()-ROW(D3d11[[#Headers],[ลำดับที่]])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ROW()-ROW(D3d11[[#Headers],[ลำดับที่]])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ROW()-ROW(D3d11[[#Headers],[ลำดับที่]])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ROW()-ROW(D3d11[[#Headers],[ลำดับที่]])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ROW()-ROW(D3d11[[#Headers],[ลำดับที่]])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ROW()-ROW(D3d11[[#Headers],[ลำดับที่]])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ROW()-ROW(D3d11[[#Headers],[ลำดับที่]])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ROW()-ROW(D3d11[[#Headers],[ลำดับที่]])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ROW()-ROW(D3d11[[#Headers],[ลำดับที่]])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ROW()-ROW(D3d11[[#Headers],[ลำดับที่]])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ROW()-ROW(D3d11[[#Headers],[ลำดับที่]])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ROW()-ROW(D3d11[[#Headers],[ลำดับที่]])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ROW()-ROW(D3d11[[#Headers],[ลำดับที่]])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ROW()-ROW(D3d11[[#Headers],[ลำดับที่]])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ROW()-ROW(D3d11[[#Headers],[ลำดับที่]])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ROW()-ROW(D3d11[[#Headers],[ลำดับที่]])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ROW()-ROW(D3d11[[#Headers],[ลำดับที่]])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ROW()-ROW(D3d11[[#Headers],[ลำดับที่]])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ROW()-ROW(D3d11[[#Headers],[ลำดับที่]])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ROW()-ROW(D3d11[[#Headers],[ลำดับที่]])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ROW()-ROW(D3d11[[#Headers],[ลำดับที่]])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ROW()-ROW(D3d11[[#Headers],[ลำดับที่]])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ROW()-ROW(D3d11[[#Headers],[ลำดับที่]])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ROW()-ROW(D3d11[[#Headers],[ลำดับที่]])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3" t="s">
        <v>0</v>
      </c>
      <c r="B1" s="14"/>
      <c r="C1" s="14"/>
      <c r="D1" s="14"/>
      <c r="E1" s="14"/>
    </row>
    <row r="2" spans="1:5" ht="29" customHeight="1">
      <c r="A2" s="2" t="s">
        <v>1</v>
      </c>
      <c r="B2" s="3" t="s">
        <v>18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ROW()-ROW(D3d12[[#Headers],[ลำดับที่]])</f>
        <v>1</v>
      </c>
      <c r="B4" s="8"/>
      <c r="C4" s="1"/>
      <c r="D4" s="1"/>
      <c r="E4" s="9"/>
    </row>
    <row r="5" spans="1:5" ht="29" customHeight="1">
      <c r="A5" s="7">
        <f>ROW()-ROW(D3d12[[#Headers],[ลำดับที่]])</f>
        <v>2</v>
      </c>
      <c r="B5" s="8"/>
      <c r="C5" s="1"/>
      <c r="D5" s="1"/>
      <c r="E5" s="9"/>
    </row>
    <row r="6" spans="1:5" ht="29" customHeight="1">
      <c r="A6" s="7">
        <f>ROW()-ROW(D3d12[[#Headers],[ลำดับที่]])</f>
        <v>3</v>
      </c>
      <c r="B6" s="8"/>
      <c r="C6" s="1"/>
      <c r="D6" s="1"/>
      <c r="E6" s="9"/>
    </row>
    <row r="7" spans="1:5" ht="29" customHeight="1">
      <c r="A7" s="7">
        <f>ROW()-ROW(D3d12[[#Headers],[ลำดับที่]])</f>
        <v>4</v>
      </c>
      <c r="B7" s="8"/>
      <c r="C7" s="1"/>
      <c r="D7" s="1"/>
      <c r="E7" s="9"/>
    </row>
    <row r="8" spans="1:5" ht="29" customHeight="1">
      <c r="A8" s="7">
        <f>ROW()-ROW(D3d12[[#Headers],[ลำดับที่]])</f>
        <v>5</v>
      </c>
      <c r="B8" s="8"/>
      <c r="C8" s="1"/>
      <c r="D8" s="1"/>
      <c r="E8" s="9"/>
    </row>
    <row r="9" spans="1:5" ht="29" customHeight="1">
      <c r="A9" s="7">
        <f>ROW()-ROW(D3d12[[#Headers],[ลำดับที่]])</f>
        <v>6</v>
      </c>
      <c r="B9" s="8"/>
      <c r="C9" s="1"/>
      <c r="D9" s="1"/>
      <c r="E9" s="9"/>
    </row>
    <row r="10" spans="1:5" ht="29" customHeight="1">
      <c r="A10" s="7">
        <f>ROW()-ROW(D3d12[[#Headers],[ลำดับที่]])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ROW()-ROW(D3d12[[#Headers],[ลำดับที่]])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ROW()-ROW(D3d12[[#Headers],[ลำดับที่]])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ROW()-ROW(D3d12[[#Headers],[ลำดับที่]])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ROW()-ROW(D3d12[[#Headers],[ลำดับที่]])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ROW()-ROW(D3d12[[#Headers],[ลำดับที่]])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ROW()-ROW(D3d12[[#Headers],[ลำดับที่]])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ROW()-ROW(D3d12[[#Headers],[ลำดับที่]])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ROW()-ROW(D3d12[[#Headers],[ลำดับที่]])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ROW()-ROW(D3d12[[#Headers],[ลำดับที่]])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ROW()-ROW(D3d12[[#Headers],[ลำดับที่]])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ROW()-ROW(D3d12[[#Headers],[ลำดับที่]])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ROW()-ROW(D3d12[[#Headers],[ลำดับที่]])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ROW()-ROW(D3d12[[#Headers],[ลำดับที่]])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ROW()-ROW(D3d12[[#Headers],[ลำดับที่]])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ROW()-ROW(D3d12[[#Headers],[ลำดับที่]])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ROW()-ROW(D3d12[[#Headers],[ลำดับที่]])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ROW()-ROW(D3d12[[#Headers],[ลำดับที่]])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ROW()-ROW(D3d12[[#Headers],[ลำดับที่]])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ROW()-ROW(D3d12[[#Headers],[ลำดับที่]])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ROW()-ROW(D3d12[[#Headers],[ลำดับที่]])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ROW()-ROW(D3d12[[#Headers],[ลำดับที่]])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ROW()-ROW(D3d12[[#Headers],[ลำดับที่]])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ROW()-ROW(D3d12[[#Headers],[ลำดับที่]])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ROW()-ROW(D3d12[[#Headers],[ลำดับที่]])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ROW()-ROW(D3d12[[#Headers],[ลำดับที่]])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ROW()-ROW(D3d12[[#Headers],[ลำดับที่]])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ROW()-ROW(D3d12[[#Headers],[ลำดับที่]])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ROW()-ROW(D3d12[[#Headers],[ลำดับที่]])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ROW()-ROW(D3d12[[#Headers],[ลำดับที่]])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ROW()-ROW(D3d12[[#Headers],[ลำดับที่]])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ROW()-ROW(D3d12[[#Headers],[ลำดับที่]])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ROW()-ROW(D3d12[[#Headers],[ลำดับที่]])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ROW()-ROW(D3d12[[#Headers],[ลำดับที่]])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ROW()-ROW(D3d12[[#Headers],[ลำดับที่]])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ROW()-ROW(D3d12[[#Headers],[ลำดับที่]])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ROW()-ROW(D3d12[[#Headers],[ลำดับที่]])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ROW()-ROW(D3d12[[#Headers],[ลำดับที่]])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ROW()-ROW(D3d12[[#Headers],[ลำดับที่]])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ROW()-ROW(D3d12[[#Headers],[ลำดับที่]])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ROW()-ROW(D3d12[[#Headers],[ลำดับที่]])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ROW()-ROW(D3d12[[#Headers],[ลำดับที่]])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ROW()-ROW(D3d12[[#Headers],[ลำดับที่]])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ROW()-ROW(D3d12[[#Headers],[ลำดับที่]])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3" t="s">
        <v>0</v>
      </c>
      <c r="B1" s="14"/>
      <c r="C1" s="14"/>
      <c r="D1" s="14"/>
      <c r="E1" s="14"/>
    </row>
    <row r="2" spans="1:5" ht="29" customHeight="1">
      <c r="A2" s="2" t="s">
        <v>1</v>
      </c>
      <c r="B2" s="3" t="s">
        <v>19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ROW()-ROW(D3d13[[#Headers],[ลำดับที่]])</f>
        <v>1</v>
      </c>
      <c r="B4" s="8"/>
      <c r="C4" s="1"/>
      <c r="D4" s="1"/>
      <c r="E4" s="9"/>
    </row>
    <row r="5" spans="1:5" ht="29" customHeight="1">
      <c r="A5" s="7">
        <f>ROW()-ROW(D3d13[[#Headers],[ลำดับที่]])</f>
        <v>2</v>
      </c>
      <c r="B5" s="8"/>
      <c r="C5" s="1"/>
      <c r="D5" s="1"/>
      <c r="E5" s="9"/>
    </row>
    <row r="6" spans="1:5" ht="29" customHeight="1">
      <c r="A6" s="7">
        <f>ROW()-ROW(D3d13[[#Headers],[ลำดับที่]])</f>
        <v>3</v>
      </c>
      <c r="B6" s="8"/>
      <c r="C6" s="1"/>
      <c r="D6" s="1"/>
      <c r="E6" s="9"/>
    </row>
    <row r="7" spans="1:5" ht="29" customHeight="1">
      <c r="A7" s="7">
        <f>ROW()-ROW(D3d13[[#Headers],[ลำดับที่]])</f>
        <v>4</v>
      </c>
      <c r="B7" s="8"/>
      <c r="C7" s="1"/>
      <c r="D7" s="1"/>
      <c r="E7" s="9"/>
    </row>
    <row r="8" spans="1:5" ht="29" customHeight="1">
      <c r="A8" s="7">
        <f>ROW()-ROW(D3d13[[#Headers],[ลำดับที่]])</f>
        <v>5</v>
      </c>
      <c r="B8" s="8"/>
      <c r="C8" s="1"/>
      <c r="D8" s="1"/>
      <c r="E8" s="9"/>
    </row>
    <row r="9" spans="1:5" ht="29" customHeight="1">
      <c r="A9" s="7">
        <f>ROW()-ROW(D3d13[[#Headers],[ลำดับที่]])</f>
        <v>6</v>
      </c>
      <c r="B9" s="8"/>
      <c r="C9" s="1"/>
      <c r="D9" s="1"/>
      <c r="E9" s="9"/>
    </row>
    <row r="10" spans="1:5" ht="29" customHeight="1">
      <c r="A10" s="7">
        <f>ROW()-ROW(D3d13[[#Headers],[ลำดับที่]])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ROW()-ROW(D3d13[[#Headers],[ลำดับที่]])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ROW()-ROW(D3d13[[#Headers],[ลำดับที่]])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ROW()-ROW(D3d13[[#Headers],[ลำดับที่]])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ROW()-ROW(D3d13[[#Headers],[ลำดับที่]])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ROW()-ROW(D3d13[[#Headers],[ลำดับที่]])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ROW()-ROW(D3d13[[#Headers],[ลำดับที่]])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ROW()-ROW(D3d13[[#Headers],[ลำดับที่]])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ROW()-ROW(D3d13[[#Headers],[ลำดับที่]])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ROW()-ROW(D3d13[[#Headers],[ลำดับที่]])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ROW()-ROW(D3d13[[#Headers],[ลำดับที่]])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ROW()-ROW(D3d13[[#Headers],[ลำดับที่]])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ROW()-ROW(D3d13[[#Headers],[ลำดับที่]])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ROW()-ROW(D3d13[[#Headers],[ลำดับที่]])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ROW()-ROW(D3d13[[#Headers],[ลำดับที่]])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ROW()-ROW(D3d13[[#Headers],[ลำดับที่]])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ROW()-ROW(D3d13[[#Headers],[ลำดับที่]])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ROW()-ROW(D3d13[[#Headers],[ลำดับที่]])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ROW()-ROW(D3d13[[#Headers],[ลำดับที่]])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ROW()-ROW(D3d13[[#Headers],[ลำดับที่]])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ROW()-ROW(D3d13[[#Headers],[ลำดับที่]])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ROW()-ROW(D3d13[[#Headers],[ลำดับที่]])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ROW()-ROW(D3d13[[#Headers],[ลำดับที่]])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ROW()-ROW(D3d13[[#Headers],[ลำดับที่]])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ROW()-ROW(D3d13[[#Headers],[ลำดับที่]])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ROW()-ROW(D3d13[[#Headers],[ลำดับที่]])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ROW()-ROW(D3d13[[#Headers],[ลำดับที่]])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ROW()-ROW(D3d13[[#Headers],[ลำดับที่]])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ROW()-ROW(D3d13[[#Headers],[ลำดับที่]])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ROW()-ROW(D3d13[[#Headers],[ลำดับที่]])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ROW()-ROW(D3d13[[#Headers],[ลำดับที่]])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ROW()-ROW(D3d13[[#Headers],[ลำดับที่]])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ROW()-ROW(D3d13[[#Headers],[ลำดับที่]])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ROW()-ROW(D3d13[[#Headers],[ลำดับที่]])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ROW()-ROW(D3d13[[#Headers],[ลำดับที่]])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ROW()-ROW(D3d13[[#Headers],[ลำดับที่]])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ROW()-ROW(D3d13[[#Headers],[ลำดับที่]])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ROW()-ROW(D3d13[[#Headers],[ลำดับที่]])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ROW()-ROW(D3d13[[#Headers],[ลำดับที่]])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ROW()-ROW(D3d13[[#Headers],[ลำดับที่]])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ROW()-ROW(D3d13[[#Headers],[ลำดับที่]])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ROW()-ROW(D3d13[[#Headers],[ลำดับที่]])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ROW()-ROW(D3d13[[#Headers],[ลำดับที่]])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ROW()-ROW(D3d13[[#Headers],[ลำดับที่]])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3" t="s">
        <v>0</v>
      </c>
      <c r="B1" s="14"/>
      <c r="C1" s="14"/>
      <c r="D1" s="14"/>
      <c r="E1" s="14"/>
    </row>
    <row r="2" spans="1:5" ht="29" customHeight="1">
      <c r="A2" s="2" t="s">
        <v>1</v>
      </c>
      <c r="B2" s="3" t="s">
        <v>20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ROW()-ROW(D3d14[[#Headers],[ลำดับที่]])</f>
        <v>1</v>
      </c>
      <c r="B4" s="8"/>
      <c r="C4" s="1"/>
      <c r="D4" s="1"/>
      <c r="E4" s="9"/>
    </row>
    <row r="5" spans="1:5" ht="29" customHeight="1">
      <c r="A5" s="7">
        <f>ROW()-ROW(D3d14[[#Headers],[ลำดับที่]])</f>
        <v>2</v>
      </c>
      <c r="B5" s="8"/>
      <c r="C5" s="1"/>
      <c r="D5" s="1"/>
      <c r="E5" s="9"/>
    </row>
    <row r="6" spans="1:5" ht="29" customHeight="1">
      <c r="A6" s="7">
        <f>ROW()-ROW(D3d14[[#Headers],[ลำดับที่]])</f>
        <v>3</v>
      </c>
      <c r="B6" s="8"/>
      <c r="C6" s="1"/>
      <c r="D6" s="1"/>
      <c r="E6" s="9"/>
    </row>
    <row r="7" spans="1:5" ht="29" customHeight="1">
      <c r="A7" s="7">
        <f>ROW()-ROW(D3d14[[#Headers],[ลำดับที่]])</f>
        <v>4</v>
      </c>
      <c r="B7" s="8"/>
      <c r="C7" s="1"/>
      <c r="D7" s="1"/>
      <c r="E7" s="9"/>
    </row>
    <row r="8" spans="1:5" ht="29" customHeight="1">
      <c r="A8" s="7">
        <f>ROW()-ROW(D3d14[[#Headers],[ลำดับที่]])</f>
        <v>5</v>
      </c>
      <c r="B8" s="8"/>
      <c r="C8" s="1"/>
      <c r="D8" s="1"/>
      <c r="E8" s="9"/>
    </row>
    <row r="9" spans="1:5" ht="29" customHeight="1">
      <c r="A9" s="7">
        <f>ROW()-ROW(D3d14[[#Headers],[ลำดับที่]])</f>
        <v>6</v>
      </c>
      <c r="B9" s="8"/>
      <c r="C9" s="1"/>
      <c r="D9" s="1"/>
      <c r="E9" s="9"/>
    </row>
    <row r="10" spans="1:5" ht="29" customHeight="1">
      <c r="A10" s="7">
        <f>ROW()-ROW(D3d14[[#Headers],[ลำดับที่]])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ROW()-ROW(D3d14[[#Headers],[ลำดับที่]])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ROW()-ROW(D3d14[[#Headers],[ลำดับที่]])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ROW()-ROW(D3d14[[#Headers],[ลำดับที่]])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ROW()-ROW(D3d14[[#Headers],[ลำดับที่]])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ROW()-ROW(D3d14[[#Headers],[ลำดับที่]])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ROW()-ROW(D3d14[[#Headers],[ลำดับที่]])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ROW()-ROW(D3d14[[#Headers],[ลำดับที่]])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ROW()-ROW(D3d14[[#Headers],[ลำดับที่]])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ROW()-ROW(D3d14[[#Headers],[ลำดับที่]])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ROW()-ROW(D3d14[[#Headers],[ลำดับที่]])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ROW()-ROW(D3d14[[#Headers],[ลำดับที่]])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ROW()-ROW(D3d14[[#Headers],[ลำดับที่]])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ROW()-ROW(D3d14[[#Headers],[ลำดับที่]])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ROW()-ROW(D3d14[[#Headers],[ลำดับที่]])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ROW()-ROW(D3d14[[#Headers],[ลำดับที่]])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ROW()-ROW(D3d14[[#Headers],[ลำดับที่]])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ROW()-ROW(D3d14[[#Headers],[ลำดับที่]])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ROW()-ROW(D3d14[[#Headers],[ลำดับที่]])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ROW()-ROW(D3d14[[#Headers],[ลำดับที่]])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ROW()-ROW(D3d14[[#Headers],[ลำดับที่]])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ROW()-ROW(D3d14[[#Headers],[ลำดับที่]])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ROW()-ROW(D3d14[[#Headers],[ลำดับที่]])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ROW()-ROW(D3d14[[#Headers],[ลำดับที่]])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ROW()-ROW(D3d14[[#Headers],[ลำดับที่]])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ROW()-ROW(D3d14[[#Headers],[ลำดับที่]])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ROW()-ROW(D3d14[[#Headers],[ลำดับที่]])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ROW()-ROW(D3d14[[#Headers],[ลำดับที่]])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ROW()-ROW(D3d14[[#Headers],[ลำดับที่]])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ROW()-ROW(D3d14[[#Headers],[ลำดับที่]])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ROW()-ROW(D3d14[[#Headers],[ลำดับที่]])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ROW()-ROW(D3d14[[#Headers],[ลำดับที่]])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ROW()-ROW(D3d14[[#Headers],[ลำดับที่]])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ROW()-ROW(D3d14[[#Headers],[ลำดับที่]])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ROW()-ROW(D3d14[[#Headers],[ลำดับที่]])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ROW()-ROW(D3d14[[#Headers],[ลำดับที่]])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ROW()-ROW(D3d14[[#Headers],[ลำดับที่]])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ROW()-ROW(D3d14[[#Headers],[ลำดับที่]])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ROW()-ROW(D3d14[[#Headers],[ลำดับที่]])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ROW()-ROW(D3d14[[#Headers],[ลำดับที่]])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ROW()-ROW(D3d14[[#Headers],[ลำดับที่]])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ROW()-ROW(D3d14[[#Headers],[ลำดับที่]])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ROW()-ROW(D3d14[[#Headers],[ลำดับที่]])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ROW()-ROW(D3d14[[#Headers],[ลำดับที่]])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3" t="s">
        <v>0</v>
      </c>
      <c r="B1" s="14"/>
      <c r="C1" s="14"/>
      <c r="D1" s="14"/>
      <c r="E1" s="14"/>
    </row>
    <row r="2" spans="1:5" ht="29" customHeight="1">
      <c r="A2" s="2" t="s">
        <v>1</v>
      </c>
      <c r="B2" s="3" t="s">
        <v>21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ROW()-ROW(D3d15[[#Headers],[ลำดับที่]])</f>
        <v>1</v>
      </c>
      <c r="B4" s="8"/>
      <c r="C4" s="1"/>
      <c r="D4" s="1"/>
      <c r="E4" s="9"/>
    </row>
    <row r="5" spans="1:5" ht="29" customHeight="1">
      <c r="A5" s="7">
        <f>ROW()-ROW(D3d15[[#Headers],[ลำดับที่]])</f>
        <v>2</v>
      </c>
      <c r="B5" s="8"/>
      <c r="C5" s="1"/>
      <c r="D5" s="1"/>
      <c r="E5" s="9"/>
    </row>
    <row r="6" spans="1:5" ht="29" customHeight="1">
      <c r="A6" s="7">
        <f>ROW()-ROW(D3d15[[#Headers],[ลำดับที่]])</f>
        <v>3</v>
      </c>
      <c r="B6" s="8"/>
      <c r="C6" s="1"/>
      <c r="D6" s="1"/>
      <c r="E6" s="9"/>
    </row>
    <row r="7" spans="1:5" ht="29" customHeight="1">
      <c r="A7" s="7">
        <f>ROW()-ROW(D3d15[[#Headers],[ลำดับที่]])</f>
        <v>4</v>
      </c>
      <c r="B7" s="8"/>
      <c r="C7" s="1"/>
      <c r="D7" s="1"/>
      <c r="E7" s="9"/>
    </row>
    <row r="8" spans="1:5" ht="29" customHeight="1">
      <c r="A8" s="7">
        <f>ROW()-ROW(D3d15[[#Headers],[ลำดับที่]])</f>
        <v>5</v>
      </c>
      <c r="B8" s="8"/>
      <c r="C8" s="1"/>
      <c r="D8" s="1"/>
      <c r="E8" s="9"/>
    </row>
    <row r="9" spans="1:5" ht="29" customHeight="1">
      <c r="A9" s="7">
        <f>ROW()-ROW(D3d15[[#Headers],[ลำดับที่]])</f>
        <v>6</v>
      </c>
      <c r="B9" s="8"/>
      <c r="C9" s="1"/>
      <c r="D9" s="1"/>
      <c r="E9" s="9"/>
    </row>
    <row r="10" spans="1:5" ht="29" customHeight="1">
      <c r="A10" s="7">
        <f>ROW()-ROW(D3d15[[#Headers],[ลำดับที่]])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ROW()-ROW(D3d15[[#Headers],[ลำดับที่]])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ROW()-ROW(D3d15[[#Headers],[ลำดับที่]])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ROW()-ROW(D3d15[[#Headers],[ลำดับที่]])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ROW()-ROW(D3d15[[#Headers],[ลำดับที่]])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ROW()-ROW(D3d15[[#Headers],[ลำดับที่]])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ROW()-ROW(D3d15[[#Headers],[ลำดับที่]])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ROW()-ROW(D3d15[[#Headers],[ลำดับที่]])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ROW()-ROW(D3d15[[#Headers],[ลำดับที่]])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ROW()-ROW(D3d15[[#Headers],[ลำดับที่]])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ROW()-ROW(D3d15[[#Headers],[ลำดับที่]])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ROW()-ROW(D3d15[[#Headers],[ลำดับที่]])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ROW()-ROW(D3d15[[#Headers],[ลำดับที่]])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ROW()-ROW(D3d15[[#Headers],[ลำดับที่]])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ROW()-ROW(D3d15[[#Headers],[ลำดับที่]])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ROW()-ROW(D3d15[[#Headers],[ลำดับที่]])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ROW()-ROW(D3d15[[#Headers],[ลำดับที่]])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ROW()-ROW(D3d15[[#Headers],[ลำดับที่]])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ROW()-ROW(D3d15[[#Headers],[ลำดับที่]])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ROW()-ROW(D3d15[[#Headers],[ลำดับที่]])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ROW()-ROW(D3d15[[#Headers],[ลำดับที่]])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ROW()-ROW(D3d15[[#Headers],[ลำดับที่]])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ROW()-ROW(D3d15[[#Headers],[ลำดับที่]])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ROW()-ROW(D3d15[[#Headers],[ลำดับที่]])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ROW()-ROW(D3d15[[#Headers],[ลำดับที่]])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ROW()-ROW(D3d15[[#Headers],[ลำดับที่]])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ROW()-ROW(D3d15[[#Headers],[ลำดับที่]])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ROW()-ROW(D3d15[[#Headers],[ลำดับที่]])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ROW()-ROW(D3d15[[#Headers],[ลำดับที่]])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ROW()-ROW(D3d15[[#Headers],[ลำดับที่]])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ROW()-ROW(D3d15[[#Headers],[ลำดับที่]])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ROW()-ROW(D3d15[[#Headers],[ลำดับที่]])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ROW()-ROW(D3d15[[#Headers],[ลำดับที่]])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ROW()-ROW(D3d15[[#Headers],[ลำดับที่]])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ROW()-ROW(D3d15[[#Headers],[ลำดับที่]])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ROW()-ROW(D3d15[[#Headers],[ลำดับที่]])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ROW()-ROW(D3d15[[#Headers],[ลำดับที่]])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ROW()-ROW(D3d15[[#Headers],[ลำดับที่]])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ROW()-ROW(D3d15[[#Headers],[ลำดับที่]])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ROW()-ROW(D3d15[[#Headers],[ลำดับที่]])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ROW()-ROW(D3d15[[#Headers],[ลำดับที่]])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ROW()-ROW(D3d15[[#Headers],[ลำดับที่]])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ROW()-ROW(D3d15[[#Headers],[ลำดับที่]])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ROW()-ROW(D3d15[[#Headers],[ลำดับที่]])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3" t="s">
        <v>0</v>
      </c>
      <c r="B1" s="14"/>
      <c r="C1" s="14"/>
      <c r="D1" s="14"/>
      <c r="E1" s="14"/>
    </row>
    <row r="2" spans="1:5" ht="29" customHeight="1">
      <c r="A2" s="2" t="s">
        <v>1</v>
      </c>
      <c r="B2" s="3" t="s">
        <v>22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ROW()-ROW(D3d16[[#Headers],[ลำดับที่]])</f>
        <v>1</v>
      </c>
      <c r="B4" s="8"/>
      <c r="C4" s="1"/>
      <c r="D4" s="1"/>
      <c r="E4" s="9"/>
    </row>
    <row r="5" spans="1:5" ht="29" customHeight="1">
      <c r="A5" s="7">
        <f>ROW()-ROW(D3d16[[#Headers],[ลำดับที่]])</f>
        <v>2</v>
      </c>
      <c r="B5" s="8"/>
      <c r="C5" s="1"/>
      <c r="D5" s="1"/>
      <c r="E5" s="9"/>
    </row>
    <row r="6" spans="1:5" ht="29" customHeight="1">
      <c r="A6" s="7">
        <f>ROW()-ROW(D3d16[[#Headers],[ลำดับที่]])</f>
        <v>3</v>
      </c>
      <c r="B6" s="8"/>
      <c r="C6" s="1"/>
      <c r="D6" s="1"/>
      <c r="E6" s="9"/>
    </row>
    <row r="7" spans="1:5" ht="29" customHeight="1">
      <c r="A7" s="7">
        <f>ROW()-ROW(D3d16[[#Headers],[ลำดับที่]])</f>
        <v>4</v>
      </c>
      <c r="B7" s="8"/>
      <c r="C7" s="1"/>
      <c r="D7" s="1"/>
      <c r="E7" s="9"/>
    </row>
    <row r="8" spans="1:5" ht="29" customHeight="1">
      <c r="A8" s="7">
        <f>ROW()-ROW(D3d16[[#Headers],[ลำดับที่]])</f>
        <v>5</v>
      </c>
      <c r="B8" s="8"/>
      <c r="C8" s="1"/>
      <c r="D8" s="1"/>
      <c r="E8" s="9"/>
    </row>
    <row r="9" spans="1:5" ht="29" customHeight="1">
      <c r="A9" s="7">
        <f>ROW()-ROW(D3d16[[#Headers],[ลำดับที่]])</f>
        <v>6</v>
      </c>
      <c r="B9" s="8"/>
      <c r="C9" s="1"/>
      <c r="D9" s="1"/>
      <c r="E9" s="9"/>
    </row>
    <row r="10" spans="1:5" ht="29" customHeight="1">
      <c r="A10" s="7">
        <f>ROW()-ROW(D3d16[[#Headers],[ลำดับที่]])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ROW()-ROW(D3d16[[#Headers],[ลำดับที่]])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ROW()-ROW(D3d16[[#Headers],[ลำดับที่]])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ROW()-ROW(D3d16[[#Headers],[ลำดับที่]])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ROW()-ROW(D3d16[[#Headers],[ลำดับที่]])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ROW()-ROW(D3d16[[#Headers],[ลำดับที่]])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ROW()-ROW(D3d16[[#Headers],[ลำดับที่]])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ROW()-ROW(D3d16[[#Headers],[ลำดับที่]])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ROW()-ROW(D3d16[[#Headers],[ลำดับที่]])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ROW()-ROW(D3d16[[#Headers],[ลำดับที่]])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ROW()-ROW(D3d16[[#Headers],[ลำดับที่]])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ROW()-ROW(D3d16[[#Headers],[ลำดับที่]])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ROW()-ROW(D3d16[[#Headers],[ลำดับที่]])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ROW()-ROW(D3d16[[#Headers],[ลำดับที่]])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ROW()-ROW(D3d16[[#Headers],[ลำดับที่]])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ROW()-ROW(D3d16[[#Headers],[ลำดับที่]])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ROW()-ROW(D3d16[[#Headers],[ลำดับที่]])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ROW()-ROW(D3d16[[#Headers],[ลำดับที่]])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ROW()-ROW(D3d16[[#Headers],[ลำดับที่]])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ROW()-ROW(D3d16[[#Headers],[ลำดับที่]])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ROW()-ROW(D3d16[[#Headers],[ลำดับที่]])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ROW()-ROW(D3d16[[#Headers],[ลำดับที่]])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ROW()-ROW(D3d16[[#Headers],[ลำดับที่]])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ROW()-ROW(D3d16[[#Headers],[ลำดับที่]])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ROW()-ROW(D3d16[[#Headers],[ลำดับที่]])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ROW()-ROW(D3d16[[#Headers],[ลำดับที่]])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ROW()-ROW(D3d16[[#Headers],[ลำดับที่]])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ROW()-ROW(D3d16[[#Headers],[ลำดับที่]])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ROW()-ROW(D3d16[[#Headers],[ลำดับที่]])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ROW()-ROW(D3d16[[#Headers],[ลำดับที่]])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ROW()-ROW(D3d16[[#Headers],[ลำดับที่]])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ROW()-ROW(D3d16[[#Headers],[ลำดับที่]])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ROW()-ROW(D3d16[[#Headers],[ลำดับที่]])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ROW()-ROW(D3d16[[#Headers],[ลำดับที่]])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ROW()-ROW(D3d16[[#Headers],[ลำดับที่]])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ROW()-ROW(D3d16[[#Headers],[ลำดับที่]])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ROW()-ROW(D3d16[[#Headers],[ลำดับที่]])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ROW()-ROW(D3d16[[#Headers],[ลำดับที่]])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ROW()-ROW(D3d16[[#Headers],[ลำดับที่]])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ROW()-ROW(D3d16[[#Headers],[ลำดับที่]])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ROW()-ROW(D3d16[[#Headers],[ลำดับที่]])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ROW()-ROW(D3d16[[#Headers],[ลำดับที่]])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ROW()-ROW(D3d16[[#Headers],[ลำดับที่]])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ROW()-ROW(D3d16[[#Headers],[ลำดับที่]])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3" t="s">
        <v>0</v>
      </c>
      <c r="B1" s="14"/>
      <c r="C1" s="14"/>
      <c r="D1" s="14"/>
      <c r="E1" s="14"/>
    </row>
    <row r="2" spans="1:5" ht="29" customHeight="1">
      <c r="A2" s="2" t="s">
        <v>1</v>
      </c>
      <c r="B2" s="3" t="s">
        <v>23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ROW()-ROW(D3d17[[#Headers],[ลำดับที่]])</f>
        <v>1</v>
      </c>
      <c r="B4" s="8"/>
      <c r="C4" s="1"/>
      <c r="D4" s="1"/>
      <c r="E4" s="9"/>
    </row>
    <row r="5" spans="1:5" ht="29" customHeight="1">
      <c r="A5" s="7">
        <f>ROW()-ROW(D3d17[[#Headers],[ลำดับที่]])</f>
        <v>2</v>
      </c>
      <c r="B5" s="8"/>
      <c r="C5" s="1"/>
      <c r="D5" s="1"/>
      <c r="E5" s="9"/>
    </row>
    <row r="6" spans="1:5" ht="29" customHeight="1">
      <c r="A6" s="7">
        <f>ROW()-ROW(D3d17[[#Headers],[ลำดับที่]])</f>
        <v>3</v>
      </c>
      <c r="B6" s="8"/>
      <c r="C6" s="1"/>
      <c r="D6" s="1"/>
      <c r="E6" s="9"/>
    </row>
    <row r="7" spans="1:5" ht="29" customHeight="1">
      <c r="A7" s="7">
        <f>ROW()-ROW(D3d17[[#Headers],[ลำดับที่]])</f>
        <v>4</v>
      </c>
      <c r="B7" s="8"/>
      <c r="C7" s="1"/>
      <c r="D7" s="1"/>
      <c r="E7" s="9"/>
    </row>
    <row r="8" spans="1:5" ht="29" customHeight="1">
      <c r="A8" s="7">
        <f>ROW()-ROW(D3d17[[#Headers],[ลำดับที่]])</f>
        <v>5</v>
      </c>
      <c r="B8" s="8"/>
      <c r="C8" s="1"/>
      <c r="D8" s="1"/>
      <c r="E8" s="9"/>
    </row>
    <row r="9" spans="1:5" ht="29" customHeight="1">
      <c r="A9" s="7">
        <f>ROW()-ROW(D3d17[[#Headers],[ลำดับที่]])</f>
        <v>6</v>
      </c>
      <c r="B9" s="8"/>
      <c r="C9" s="1"/>
      <c r="D9" s="1"/>
      <c r="E9" s="9"/>
    </row>
    <row r="10" spans="1:5" ht="29" customHeight="1">
      <c r="A10" s="7">
        <f>ROW()-ROW(D3d17[[#Headers],[ลำดับที่]])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ROW()-ROW(D3d17[[#Headers],[ลำดับที่]])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ROW()-ROW(D3d17[[#Headers],[ลำดับที่]])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ROW()-ROW(D3d17[[#Headers],[ลำดับที่]])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ROW()-ROW(D3d17[[#Headers],[ลำดับที่]])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ROW()-ROW(D3d17[[#Headers],[ลำดับที่]])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ROW()-ROW(D3d17[[#Headers],[ลำดับที่]])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ROW()-ROW(D3d17[[#Headers],[ลำดับที่]])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ROW()-ROW(D3d17[[#Headers],[ลำดับที่]])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ROW()-ROW(D3d17[[#Headers],[ลำดับที่]])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ROW()-ROW(D3d17[[#Headers],[ลำดับที่]])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ROW()-ROW(D3d17[[#Headers],[ลำดับที่]])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ROW()-ROW(D3d17[[#Headers],[ลำดับที่]])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ROW()-ROW(D3d17[[#Headers],[ลำดับที่]])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ROW()-ROW(D3d17[[#Headers],[ลำดับที่]])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ROW()-ROW(D3d17[[#Headers],[ลำดับที่]])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ROW()-ROW(D3d17[[#Headers],[ลำดับที่]])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ROW()-ROW(D3d17[[#Headers],[ลำดับที่]])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ROW()-ROW(D3d17[[#Headers],[ลำดับที่]])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ROW()-ROW(D3d17[[#Headers],[ลำดับที่]])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ROW()-ROW(D3d17[[#Headers],[ลำดับที่]])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ROW()-ROW(D3d17[[#Headers],[ลำดับที่]])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ROW()-ROW(D3d17[[#Headers],[ลำดับที่]])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ROW()-ROW(D3d17[[#Headers],[ลำดับที่]])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ROW()-ROW(D3d17[[#Headers],[ลำดับที่]])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ROW()-ROW(D3d17[[#Headers],[ลำดับที่]])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ROW()-ROW(D3d17[[#Headers],[ลำดับที่]])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ROW()-ROW(D3d17[[#Headers],[ลำดับที่]])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ROW()-ROW(D3d17[[#Headers],[ลำดับที่]])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ROW()-ROW(D3d17[[#Headers],[ลำดับที่]])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ROW()-ROW(D3d17[[#Headers],[ลำดับที่]])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ROW()-ROW(D3d17[[#Headers],[ลำดับที่]])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ROW()-ROW(D3d17[[#Headers],[ลำดับที่]])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ROW()-ROW(D3d17[[#Headers],[ลำดับที่]])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ROW()-ROW(D3d17[[#Headers],[ลำดับที่]])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ROW()-ROW(D3d17[[#Headers],[ลำดับที่]])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ROW()-ROW(D3d17[[#Headers],[ลำดับที่]])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ROW()-ROW(D3d17[[#Headers],[ลำดับที่]])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ROW()-ROW(D3d17[[#Headers],[ลำดับที่]])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ROW()-ROW(D3d17[[#Headers],[ลำดับที่]])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ROW()-ROW(D3d17[[#Headers],[ลำดับที่]])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ROW()-ROW(D3d17[[#Headers],[ลำดับที่]])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ROW()-ROW(D3d17[[#Headers],[ลำดับที่]])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ROW()-ROW(D3d17[[#Headers],[ลำดับที่]])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3" t="s">
        <v>0</v>
      </c>
      <c r="B1" s="14"/>
      <c r="C1" s="14"/>
      <c r="D1" s="14"/>
      <c r="E1" s="14"/>
    </row>
    <row r="2" spans="1:5" ht="29" customHeight="1">
      <c r="A2" s="2" t="s">
        <v>1</v>
      </c>
      <c r="B2" s="3" t="s">
        <v>24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ROW()-ROW(D3d18[[#Headers],[ลำดับที่]])</f>
        <v>1</v>
      </c>
      <c r="B4" s="8"/>
      <c r="C4" s="1"/>
      <c r="D4" s="1"/>
      <c r="E4" s="9"/>
    </row>
    <row r="5" spans="1:5" ht="29" customHeight="1">
      <c r="A5" s="7">
        <f>ROW()-ROW(D3d18[[#Headers],[ลำดับที่]])</f>
        <v>2</v>
      </c>
      <c r="B5" s="8"/>
      <c r="C5" s="1"/>
      <c r="D5" s="1"/>
      <c r="E5" s="9"/>
    </row>
    <row r="6" spans="1:5" ht="29" customHeight="1">
      <c r="A6" s="7">
        <f>ROW()-ROW(D3d18[[#Headers],[ลำดับที่]])</f>
        <v>3</v>
      </c>
      <c r="B6" s="8"/>
      <c r="C6" s="1"/>
      <c r="D6" s="1"/>
      <c r="E6" s="9"/>
    </row>
    <row r="7" spans="1:5" ht="29" customHeight="1">
      <c r="A7" s="7">
        <f>ROW()-ROW(D3d18[[#Headers],[ลำดับที่]])</f>
        <v>4</v>
      </c>
      <c r="B7" s="8"/>
      <c r="C7" s="1"/>
      <c r="D7" s="1"/>
      <c r="E7" s="9"/>
    </row>
    <row r="8" spans="1:5" ht="29" customHeight="1">
      <c r="A8" s="7">
        <f>ROW()-ROW(D3d18[[#Headers],[ลำดับที่]])</f>
        <v>5</v>
      </c>
      <c r="B8" s="8"/>
      <c r="C8" s="1"/>
      <c r="D8" s="1"/>
      <c r="E8" s="9"/>
    </row>
    <row r="9" spans="1:5" ht="29" customHeight="1">
      <c r="A9" s="7">
        <f>ROW()-ROW(D3d18[[#Headers],[ลำดับที่]])</f>
        <v>6</v>
      </c>
      <c r="B9" s="8"/>
      <c r="C9" s="1"/>
      <c r="D9" s="1"/>
      <c r="E9" s="9"/>
    </row>
    <row r="10" spans="1:5" ht="29" customHeight="1">
      <c r="A10" s="7">
        <f>ROW()-ROW(D3d18[[#Headers],[ลำดับที่]])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ROW()-ROW(D3d18[[#Headers],[ลำดับที่]])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ROW()-ROW(D3d18[[#Headers],[ลำดับที่]])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ROW()-ROW(D3d18[[#Headers],[ลำดับที่]])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ROW()-ROW(D3d18[[#Headers],[ลำดับที่]])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ROW()-ROW(D3d18[[#Headers],[ลำดับที่]])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ROW()-ROW(D3d18[[#Headers],[ลำดับที่]])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ROW()-ROW(D3d18[[#Headers],[ลำดับที่]])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ROW()-ROW(D3d18[[#Headers],[ลำดับที่]])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ROW()-ROW(D3d18[[#Headers],[ลำดับที่]])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ROW()-ROW(D3d18[[#Headers],[ลำดับที่]])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ROW()-ROW(D3d18[[#Headers],[ลำดับที่]])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ROW()-ROW(D3d18[[#Headers],[ลำดับที่]])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ROW()-ROW(D3d18[[#Headers],[ลำดับที่]])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ROW()-ROW(D3d18[[#Headers],[ลำดับที่]])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ROW()-ROW(D3d18[[#Headers],[ลำดับที่]])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ROW()-ROW(D3d18[[#Headers],[ลำดับที่]])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ROW()-ROW(D3d18[[#Headers],[ลำดับที่]])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ROW()-ROW(D3d18[[#Headers],[ลำดับที่]])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ROW()-ROW(D3d18[[#Headers],[ลำดับที่]])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ROW()-ROW(D3d18[[#Headers],[ลำดับที่]])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ROW()-ROW(D3d18[[#Headers],[ลำดับที่]])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ROW()-ROW(D3d18[[#Headers],[ลำดับที่]])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ROW()-ROW(D3d18[[#Headers],[ลำดับที่]])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ROW()-ROW(D3d18[[#Headers],[ลำดับที่]])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ROW()-ROW(D3d18[[#Headers],[ลำดับที่]])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ROW()-ROW(D3d18[[#Headers],[ลำดับที่]])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ROW()-ROW(D3d18[[#Headers],[ลำดับที่]])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ROW()-ROW(D3d18[[#Headers],[ลำดับที่]])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ROW()-ROW(D3d18[[#Headers],[ลำดับที่]])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ROW()-ROW(D3d18[[#Headers],[ลำดับที่]])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ROW()-ROW(D3d18[[#Headers],[ลำดับที่]])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ROW()-ROW(D3d18[[#Headers],[ลำดับที่]])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ROW()-ROW(D3d18[[#Headers],[ลำดับที่]])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ROW()-ROW(D3d18[[#Headers],[ลำดับที่]])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ROW()-ROW(D3d18[[#Headers],[ลำดับที่]])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ROW()-ROW(D3d18[[#Headers],[ลำดับที่]])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ROW()-ROW(D3d18[[#Headers],[ลำดับที่]])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ROW()-ROW(D3d18[[#Headers],[ลำดับที่]])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ROW()-ROW(D3d18[[#Headers],[ลำดับที่]])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ROW()-ROW(D3d18[[#Headers],[ลำดับที่]])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ROW()-ROW(D3d18[[#Headers],[ลำดับที่]])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ROW()-ROW(D3d18[[#Headers],[ลำดับที่]])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ROW()-ROW(D3d18[[#Headers],[ลำดับที่]])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3" t="s">
        <v>0</v>
      </c>
      <c r="B1" s="14"/>
      <c r="C1" s="14"/>
      <c r="D1" s="14"/>
      <c r="E1" s="14"/>
    </row>
    <row r="2" spans="1:5" ht="29" customHeight="1">
      <c r="A2" s="2" t="s">
        <v>1</v>
      </c>
      <c r="B2" s="3" t="s">
        <v>25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ROW()-ROW(D3d19[[#Headers],[ลำดับที่]])</f>
        <v>1</v>
      </c>
      <c r="B4" s="8"/>
      <c r="C4" s="1"/>
      <c r="D4" s="1"/>
      <c r="E4" s="9"/>
    </row>
    <row r="5" spans="1:5" ht="29" customHeight="1">
      <c r="A5" s="7">
        <f>ROW()-ROW(D3d19[[#Headers],[ลำดับที่]])</f>
        <v>2</v>
      </c>
      <c r="B5" s="8"/>
      <c r="C5" s="1"/>
      <c r="D5" s="1"/>
      <c r="E5" s="9"/>
    </row>
    <row r="6" spans="1:5" ht="29" customHeight="1">
      <c r="A6" s="7">
        <f>ROW()-ROW(D3d19[[#Headers],[ลำดับที่]])</f>
        <v>3</v>
      </c>
      <c r="B6" s="8"/>
      <c r="C6" s="1"/>
      <c r="D6" s="1"/>
      <c r="E6" s="9"/>
    </row>
    <row r="7" spans="1:5" ht="29" customHeight="1">
      <c r="A7" s="7">
        <f>ROW()-ROW(D3d19[[#Headers],[ลำดับที่]])</f>
        <v>4</v>
      </c>
      <c r="B7" s="8"/>
      <c r="C7" s="1"/>
      <c r="D7" s="1"/>
      <c r="E7" s="9"/>
    </row>
    <row r="8" spans="1:5" ht="29" customHeight="1">
      <c r="A8" s="7">
        <f>ROW()-ROW(D3d19[[#Headers],[ลำดับที่]])</f>
        <v>5</v>
      </c>
      <c r="B8" s="8"/>
      <c r="C8" s="1"/>
      <c r="D8" s="1"/>
      <c r="E8" s="9"/>
    </row>
    <row r="9" spans="1:5" ht="29" customHeight="1">
      <c r="A9" s="7">
        <f>ROW()-ROW(D3d19[[#Headers],[ลำดับที่]])</f>
        <v>6</v>
      </c>
      <c r="B9" s="8"/>
      <c r="C9" s="1"/>
      <c r="D9" s="1"/>
      <c r="E9" s="9"/>
    </row>
    <row r="10" spans="1:5" ht="29" customHeight="1">
      <c r="A10" s="7">
        <f>ROW()-ROW(D3d19[[#Headers],[ลำดับที่]])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ROW()-ROW(D3d19[[#Headers],[ลำดับที่]])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ROW()-ROW(D3d19[[#Headers],[ลำดับที่]])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ROW()-ROW(D3d19[[#Headers],[ลำดับที่]])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ROW()-ROW(D3d19[[#Headers],[ลำดับที่]])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ROW()-ROW(D3d19[[#Headers],[ลำดับที่]])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ROW()-ROW(D3d19[[#Headers],[ลำดับที่]])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ROW()-ROW(D3d19[[#Headers],[ลำดับที่]])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ROW()-ROW(D3d19[[#Headers],[ลำดับที่]])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ROW()-ROW(D3d19[[#Headers],[ลำดับที่]])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ROW()-ROW(D3d19[[#Headers],[ลำดับที่]])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ROW()-ROW(D3d19[[#Headers],[ลำดับที่]])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ROW()-ROW(D3d19[[#Headers],[ลำดับที่]])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ROW()-ROW(D3d19[[#Headers],[ลำดับที่]])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ROW()-ROW(D3d19[[#Headers],[ลำดับที่]])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ROW()-ROW(D3d19[[#Headers],[ลำดับที่]])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ROW()-ROW(D3d19[[#Headers],[ลำดับที่]])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ROW()-ROW(D3d19[[#Headers],[ลำดับที่]])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ROW()-ROW(D3d19[[#Headers],[ลำดับที่]])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ROW()-ROW(D3d19[[#Headers],[ลำดับที่]])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ROW()-ROW(D3d19[[#Headers],[ลำดับที่]])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ROW()-ROW(D3d19[[#Headers],[ลำดับที่]])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ROW()-ROW(D3d19[[#Headers],[ลำดับที่]])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ROW()-ROW(D3d19[[#Headers],[ลำดับที่]])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ROW()-ROW(D3d19[[#Headers],[ลำดับที่]])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ROW()-ROW(D3d19[[#Headers],[ลำดับที่]])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ROW()-ROW(D3d19[[#Headers],[ลำดับที่]])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ROW()-ROW(D3d19[[#Headers],[ลำดับที่]])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ROW()-ROW(D3d19[[#Headers],[ลำดับที่]])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ROW()-ROW(D3d19[[#Headers],[ลำดับที่]])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ROW()-ROW(D3d19[[#Headers],[ลำดับที่]])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ROW()-ROW(D3d19[[#Headers],[ลำดับที่]])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ROW()-ROW(D3d19[[#Headers],[ลำดับที่]])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ROW()-ROW(D3d19[[#Headers],[ลำดับที่]])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ROW()-ROW(D3d19[[#Headers],[ลำดับที่]])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ROW()-ROW(D3d19[[#Headers],[ลำดับที่]])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ROW()-ROW(D3d19[[#Headers],[ลำดับที่]])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ROW()-ROW(D3d19[[#Headers],[ลำดับที่]])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ROW()-ROW(D3d19[[#Headers],[ลำดับที่]])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ROW()-ROW(D3d19[[#Headers],[ลำดับที่]])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ROW()-ROW(D3d19[[#Headers],[ลำดับที่]])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ROW()-ROW(D3d19[[#Headers],[ลำดับที่]])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ROW()-ROW(D3d19[[#Headers],[ลำดับที่]])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ROW()-ROW(D3d19[[#Headers],[ลำดับที่]])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3" t="s">
        <v>0</v>
      </c>
      <c r="B1" s="14"/>
      <c r="C1" s="14"/>
      <c r="D1" s="14"/>
      <c r="E1" s="14"/>
    </row>
    <row r="2" spans="1:5" ht="29" customHeight="1">
      <c r="A2" s="2" t="s">
        <v>1</v>
      </c>
      <c r="B2" s="3" t="s">
        <v>26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ROW()-ROW(D3d20[[#Headers],[ลำดับที่]])</f>
        <v>1</v>
      </c>
      <c r="B4" s="8"/>
      <c r="C4" s="1"/>
      <c r="D4" s="1"/>
      <c r="E4" s="9"/>
    </row>
    <row r="5" spans="1:5" ht="29" customHeight="1">
      <c r="A5" s="7">
        <f>ROW()-ROW(D3d20[[#Headers],[ลำดับที่]])</f>
        <v>2</v>
      </c>
      <c r="B5" s="8"/>
      <c r="C5" s="1"/>
      <c r="D5" s="1"/>
      <c r="E5" s="9"/>
    </row>
    <row r="6" spans="1:5" ht="29" customHeight="1">
      <c r="A6" s="7">
        <f>ROW()-ROW(D3d20[[#Headers],[ลำดับที่]])</f>
        <v>3</v>
      </c>
      <c r="B6" s="8"/>
      <c r="C6" s="1"/>
      <c r="D6" s="1"/>
      <c r="E6" s="9"/>
    </row>
    <row r="7" spans="1:5" ht="29" customHeight="1">
      <c r="A7" s="7">
        <f>ROW()-ROW(D3d20[[#Headers],[ลำดับที่]])</f>
        <v>4</v>
      </c>
      <c r="B7" s="8"/>
      <c r="C7" s="1"/>
      <c r="D7" s="1"/>
      <c r="E7" s="9"/>
    </row>
    <row r="8" spans="1:5" ht="29" customHeight="1">
      <c r="A8" s="7">
        <f>ROW()-ROW(D3d20[[#Headers],[ลำดับที่]])</f>
        <v>5</v>
      </c>
      <c r="B8" s="8"/>
      <c r="C8" s="1"/>
      <c r="D8" s="1"/>
      <c r="E8" s="9"/>
    </row>
    <row r="9" spans="1:5" ht="29" customHeight="1">
      <c r="A9" s="7">
        <f>ROW()-ROW(D3d20[[#Headers],[ลำดับที่]])</f>
        <v>6</v>
      </c>
      <c r="B9" s="8"/>
      <c r="C9" s="1"/>
      <c r="D9" s="1"/>
      <c r="E9" s="9"/>
    </row>
    <row r="10" spans="1:5" ht="29" customHeight="1">
      <c r="A10" s="7">
        <f>ROW()-ROW(D3d20[[#Headers],[ลำดับที่]])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ROW()-ROW(D3d20[[#Headers],[ลำดับที่]])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ROW()-ROW(D3d20[[#Headers],[ลำดับที่]])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ROW()-ROW(D3d20[[#Headers],[ลำดับที่]])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ROW()-ROW(D3d20[[#Headers],[ลำดับที่]])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ROW()-ROW(D3d20[[#Headers],[ลำดับที่]])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ROW()-ROW(D3d20[[#Headers],[ลำดับที่]])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ROW()-ROW(D3d20[[#Headers],[ลำดับที่]])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ROW()-ROW(D3d20[[#Headers],[ลำดับที่]])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ROW()-ROW(D3d20[[#Headers],[ลำดับที่]])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ROW()-ROW(D3d20[[#Headers],[ลำดับที่]])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ROW()-ROW(D3d20[[#Headers],[ลำดับที่]])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ROW()-ROW(D3d20[[#Headers],[ลำดับที่]])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ROW()-ROW(D3d20[[#Headers],[ลำดับที่]])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ROW()-ROW(D3d20[[#Headers],[ลำดับที่]])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ROW()-ROW(D3d20[[#Headers],[ลำดับที่]])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ROW()-ROW(D3d20[[#Headers],[ลำดับที่]])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ROW()-ROW(D3d20[[#Headers],[ลำดับที่]])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ROW()-ROW(D3d20[[#Headers],[ลำดับที่]])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ROW()-ROW(D3d20[[#Headers],[ลำดับที่]])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ROW()-ROW(D3d20[[#Headers],[ลำดับที่]])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ROW()-ROW(D3d20[[#Headers],[ลำดับที่]])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ROW()-ROW(D3d20[[#Headers],[ลำดับที่]])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ROW()-ROW(D3d20[[#Headers],[ลำดับที่]])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ROW()-ROW(D3d20[[#Headers],[ลำดับที่]])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ROW()-ROW(D3d20[[#Headers],[ลำดับที่]])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ROW()-ROW(D3d20[[#Headers],[ลำดับที่]])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ROW()-ROW(D3d20[[#Headers],[ลำดับที่]])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ROW()-ROW(D3d20[[#Headers],[ลำดับที่]])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ROW()-ROW(D3d20[[#Headers],[ลำดับที่]])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ROW()-ROW(D3d20[[#Headers],[ลำดับที่]])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ROW()-ROW(D3d20[[#Headers],[ลำดับที่]])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ROW()-ROW(D3d20[[#Headers],[ลำดับที่]])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ROW()-ROW(D3d20[[#Headers],[ลำดับที่]])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ROW()-ROW(D3d20[[#Headers],[ลำดับที่]])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ROW()-ROW(D3d20[[#Headers],[ลำดับที่]])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ROW()-ROW(D3d20[[#Headers],[ลำดับที่]])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ROW()-ROW(D3d20[[#Headers],[ลำดับที่]])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ROW()-ROW(D3d20[[#Headers],[ลำดับที่]])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ROW()-ROW(D3d20[[#Headers],[ลำดับที่]])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ROW()-ROW(D3d20[[#Headers],[ลำดับที่]])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ROW()-ROW(D3d20[[#Headers],[ลำดับที่]])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ROW()-ROW(D3d20[[#Headers],[ลำดับที่]])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ROW()-ROW(D3d20[[#Headers],[ลำดับที่]])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3" t="s">
        <v>0</v>
      </c>
      <c r="B1" s="14"/>
      <c r="C1" s="14"/>
      <c r="D1" s="14"/>
      <c r="E1" s="14"/>
    </row>
    <row r="2" spans="1:5" ht="29" customHeight="1">
      <c r="A2" s="2" t="s">
        <v>1</v>
      </c>
      <c r="B2" s="3" t="s">
        <v>27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ROW()-ROW(D3d21[[#Headers],[ลำดับที่]])</f>
        <v>1</v>
      </c>
      <c r="B4" s="8"/>
      <c r="C4" s="1"/>
      <c r="D4" s="1"/>
      <c r="E4" s="9"/>
    </row>
    <row r="5" spans="1:5" ht="29" customHeight="1">
      <c r="A5" s="7">
        <f>ROW()-ROW(D3d21[[#Headers],[ลำดับที่]])</f>
        <v>2</v>
      </c>
      <c r="B5" s="8"/>
      <c r="C5" s="1"/>
      <c r="D5" s="1"/>
      <c r="E5" s="9"/>
    </row>
    <row r="6" spans="1:5" ht="29" customHeight="1">
      <c r="A6" s="7">
        <f>ROW()-ROW(D3d21[[#Headers],[ลำดับที่]])</f>
        <v>3</v>
      </c>
      <c r="B6" s="8"/>
      <c r="C6" s="1"/>
      <c r="D6" s="1"/>
      <c r="E6" s="9"/>
    </row>
    <row r="7" spans="1:5" ht="29" customHeight="1">
      <c r="A7" s="7">
        <f>ROW()-ROW(D3d21[[#Headers],[ลำดับที่]])</f>
        <v>4</v>
      </c>
      <c r="B7" s="8"/>
      <c r="C7" s="1"/>
      <c r="D7" s="1"/>
      <c r="E7" s="9"/>
    </row>
    <row r="8" spans="1:5" ht="29" customHeight="1">
      <c r="A8" s="7">
        <f>ROW()-ROW(D3d21[[#Headers],[ลำดับที่]])</f>
        <v>5</v>
      </c>
      <c r="B8" s="8"/>
      <c r="C8" s="1"/>
      <c r="D8" s="1"/>
      <c r="E8" s="9"/>
    </row>
    <row r="9" spans="1:5" ht="29" customHeight="1">
      <c r="A9" s="7">
        <f>ROW()-ROW(D3d21[[#Headers],[ลำดับที่]])</f>
        <v>6</v>
      </c>
      <c r="B9" s="8"/>
      <c r="C9" s="1"/>
      <c r="D9" s="1"/>
      <c r="E9" s="9"/>
    </row>
    <row r="10" spans="1:5" ht="29" customHeight="1">
      <c r="A10" s="7">
        <f>ROW()-ROW(D3d21[[#Headers],[ลำดับที่]])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ROW()-ROW(D3d21[[#Headers],[ลำดับที่]])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ROW()-ROW(D3d21[[#Headers],[ลำดับที่]])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ROW()-ROW(D3d21[[#Headers],[ลำดับที่]])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ROW()-ROW(D3d21[[#Headers],[ลำดับที่]])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ROW()-ROW(D3d21[[#Headers],[ลำดับที่]])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ROW()-ROW(D3d21[[#Headers],[ลำดับที่]])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ROW()-ROW(D3d21[[#Headers],[ลำดับที่]])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ROW()-ROW(D3d21[[#Headers],[ลำดับที่]])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ROW()-ROW(D3d21[[#Headers],[ลำดับที่]])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ROW()-ROW(D3d21[[#Headers],[ลำดับที่]])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ROW()-ROW(D3d21[[#Headers],[ลำดับที่]])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ROW()-ROW(D3d21[[#Headers],[ลำดับที่]])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ROW()-ROW(D3d21[[#Headers],[ลำดับที่]])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ROW()-ROW(D3d21[[#Headers],[ลำดับที่]])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ROW()-ROW(D3d21[[#Headers],[ลำดับที่]])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ROW()-ROW(D3d21[[#Headers],[ลำดับที่]])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ROW()-ROW(D3d21[[#Headers],[ลำดับที่]])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ROW()-ROW(D3d21[[#Headers],[ลำดับที่]])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ROW()-ROW(D3d21[[#Headers],[ลำดับที่]])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ROW()-ROW(D3d21[[#Headers],[ลำดับที่]])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ROW()-ROW(D3d21[[#Headers],[ลำดับที่]])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ROW()-ROW(D3d21[[#Headers],[ลำดับที่]])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ROW()-ROW(D3d21[[#Headers],[ลำดับที่]])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ROW()-ROW(D3d21[[#Headers],[ลำดับที่]])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ROW()-ROW(D3d21[[#Headers],[ลำดับที่]])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ROW()-ROW(D3d21[[#Headers],[ลำดับที่]])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ROW()-ROW(D3d21[[#Headers],[ลำดับที่]])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ROW()-ROW(D3d21[[#Headers],[ลำดับที่]])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ROW()-ROW(D3d21[[#Headers],[ลำดับที่]])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ROW()-ROW(D3d21[[#Headers],[ลำดับที่]])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ROW()-ROW(D3d21[[#Headers],[ลำดับที่]])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ROW()-ROW(D3d21[[#Headers],[ลำดับที่]])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ROW()-ROW(D3d21[[#Headers],[ลำดับที่]])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ROW()-ROW(D3d21[[#Headers],[ลำดับที่]])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ROW()-ROW(D3d21[[#Headers],[ลำดับที่]])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ROW()-ROW(D3d21[[#Headers],[ลำดับที่]])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ROW()-ROW(D3d21[[#Headers],[ลำดับที่]])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ROW()-ROW(D3d21[[#Headers],[ลำดับที่]])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ROW()-ROW(D3d21[[#Headers],[ลำดับที่]])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ROW()-ROW(D3d21[[#Headers],[ลำดับที่]])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ROW()-ROW(D3d21[[#Headers],[ลำดับที่]])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ROW()-ROW(D3d21[[#Headers],[ลำดับที่]])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ROW()-ROW(D3d21[[#Headers],[ลำดับที่]])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54"/>
  <sheetViews>
    <sheetView workbookViewId="0"/>
  </sheetViews>
  <sheetFormatPr baseColWidth="10" defaultColWidth="8.83203125" defaultRowHeight="15"/>
  <cols>
    <col min="1" max="1" width="8.6640625" customWidth="1"/>
    <col min="2" max="2" width="36.5" customWidth="1"/>
    <col min="3" max="3" width="14.33203125" customWidth="1"/>
    <col min="4" max="4" width="8.1640625" customWidth="1"/>
    <col min="5" max="5" width="30.6640625" customWidth="1"/>
    <col min="6" max="6" width="7.5" customWidth="1"/>
  </cols>
  <sheetData>
    <row r="1" spans="1:5" ht="29" customHeight="1">
      <c r="A1" s="13" t="s">
        <v>0</v>
      </c>
      <c r="B1" s="14"/>
      <c r="C1" s="14"/>
      <c r="D1" s="14"/>
      <c r="E1" s="14"/>
    </row>
    <row r="2" spans="1:5" ht="29" customHeight="1">
      <c r="A2" s="2" t="s">
        <v>1</v>
      </c>
      <c r="B2" s="3" t="s">
        <v>28</v>
      </c>
    </row>
    <row r="3" spans="1:5" ht="29" customHeight="1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</row>
    <row r="4" spans="1:5" ht="29" customHeight="1">
      <c r="A4" s="7">
        <f>ROW()-ROW(D3d22[[#Headers],[ลำดับที่]])</f>
        <v>1</v>
      </c>
      <c r="B4" s="8"/>
      <c r="C4" s="1"/>
      <c r="D4" s="1"/>
      <c r="E4" s="9"/>
    </row>
    <row r="5" spans="1:5" ht="29" customHeight="1">
      <c r="A5" s="7">
        <f>ROW()-ROW(D3d22[[#Headers],[ลำดับที่]])</f>
        <v>2</v>
      </c>
      <c r="B5" s="8"/>
      <c r="C5" s="1"/>
      <c r="D5" s="1"/>
      <c r="E5" s="9"/>
    </row>
    <row r="6" spans="1:5" ht="29" customHeight="1">
      <c r="A6" s="7">
        <f>ROW()-ROW(D3d22[[#Headers],[ลำดับที่]])</f>
        <v>3</v>
      </c>
      <c r="B6" s="8"/>
      <c r="C6" s="1"/>
      <c r="D6" s="1"/>
      <c r="E6" s="9"/>
    </row>
    <row r="7" spans="1:5" ht="29" customHeight="1">
      <c r="A7" s="7">
        <f>ROW()-ROW(D3d22[[#Headers],[ลำดับที่]])</f>
        <v>4</v>
      </c>
      <c r="B7" s="8"/>
      <c r="C7" s="1"/>
      <c r="D7" s="1"/>
      <c r="E7" s="9"/>
    </row>
    <row r="8" spans="1:5" ht="29" customHeight="1">
      <c r="A8" s="7">
        <f>ROW()-ROW(D3d22[[#Headers],[ลำดับที่]])</f>
        <v>5</v>
      </c>
      <c r="B8" s="8"/>
      <c r="C8" s="1"/>
      <c r="D8" s="1"/>
      <c r="E8" s="9"/>
    </row>
    <row r="9" spans="1:5" ht="29" customHeight="1">
      <c r="A9" s="7">
        <f>ROW()-ROW(D3d22[[#Headers],[ลำดับที่]])</f>
        <v>6</v>
      </c>
      <c r="B9" s="8"/>
      <c r="C9" s="1"/>
      <c r="D9" s="1"/>
      <c r="E9" s="9"/>
    </row>
    <row r="10" spans="1:5" ht="29" customHeight="1">
      <c r="A10" s="7">
        <f>ROW()-ROW(D3d22[[#Headers],[ลำดับที่]])</f>
        <v>7</v>
      </c>
      <c r="B10" s="8"/>
      <c r="C10" s="1"/>
      <c r="D10" s="1"/>
      <c r="E10" s="9"/>
    </row>
    <row r="11" spans="1:5" ht="29" customHeight="1">
      <c r="A11" s="7">
        <f>ROW()-ROW(D3d22[[#Headers],[ลำดับที่]])</f>
        <v>8</v>
      </c>
      <c r="B11" s="8"/>
      <c r="C11" s="1"/>
      <c r="D11" s="1"/>
      <c r="E11" s="9"/>
    </row>
    <row r="12" spans="1:5" ht="29" customHeight="1">
      <c r="A12" s="7">
        <f>ROW()-ROW(D3d22[[#Headers],[ลำดับที่]])</f>
        <v>9</v>
      </c>
      <c r="B12" s="8"/>
      <c r="C12" s="1"/>
      <c r="D12" s="1"/>
      <c r="E12" s="9"/>
    </row>
    <row r="13" spans="1:5" ht="29" customHeight="1">
      <c r="A13" s="7">
        <f>ROW()-ROW(D3d22[[#Headers],[ลำดับที่]])</f>
        <v>10</v>
      </c>
      <c r="B13" s="8"/>
      <c r="C13" s="1"/>
      <c r="D13" s="1"/>
      <c r="E13" s="9"/>
    </row>
    <row r="14" spans="1:5" ht="29" customHeight="1">
      <c r="A14" s="7">
        <f>ROW()-ROW(D3d22[[#Headers],[ลำดับที่]])</f>
        <v>11</v>
      </c>
      <c r="B14" s="8"/>
      <c r="C14" s="1"/>
      <c r="D14" s="1"/>
      <c r="E14" s="9"/>
    </row>
    <row r="15" spans="1:5" ht="29" customHeight="1">
      <c r="A15" s="7">
        <f>ROW()-ROW(D3d22[[#Headers],[ลำดับที่]])</f>
        <v>12</v>
      </c>
      <c r="B15" s="8"/>
      <c r="C15" s="1"/>
      <c r="D15" s="1"/>
      <c r="E15" s="9"/>
    </row>
    <row r="16" spans="1:5" ht="29" customHeight="1">
      <c r="A16" s="7">
        <f>ROW()-ROW(D3d22[[#Headers],[ลำดับที่]])</f>
        <v>13</v>
      </c>
      <c r="B16" s="8"/>
      <c r="C16" s="1"/>
      <c r="D16" s="1"/>
      <c r="E16" s="9"/>
    </row>
    <row r="17" spans="1:5" ht="29" customHeight="1">
      <c r="A17" s="7">
        <f>ROW()-ROW(D3d22[[#Headers],[ลำดับที่]])</f>
        <v>14</v>
      </c>
      <c r="B17" s="8"/>
      <c r="C17" s="1"/>
      <c r="D17" s="1"/>
      <c r="E17" s="9"/>
    </row>
    <row r="18" spans="1:5" ht="29" customHeight="1">
      <c r="A18" s="7">
        <f>ROW()-ROW(D3d22[[#Headers],[ลำดับที่]])</f>
        <v>15</v>
      </c>
      <c r="B18" s="8"/>
      <c r="C18" s="1"/>
      <c r="D18" s="1"/>
      <c r="E18" s="9"/>
    </row>
    <row r="19" spans="1:5" ht="29" customHeight="1">
      <c r="A19" s="7">
        <f>ROW()-ROW(D3d22[[#Headers],[ลำดับที่]])</f>
        <v>16</v>
      </c>
      <c r="B19" s="8"/>
      <c r="C19" s="1"/>
      <c r="D19" s="1"/>
      <c r="E19" s="9"/>
    </row>
    <row r="20" spans="1:5" ht="29" customHeight="1">
      <c r="A20" s="7">
        <f>ROW()-ROW(D3d22[[#Headers],[ลำดับที่]])</f>
        <v>17</v>
      </c>
      <c r="B20" s="8"/>
      <c r="C20" s="1"/>
      <c r="D20" s="1"/>
      <c r="E20" s="9"/>
    </row>
    <row r="21" spans="1:5" ht="29" customHeight="1">
      <c r="A21" s="7">
        <f>ROW()-ROW(D3d22[[#Headers],[ลำดับที่]])</f>
        <v>18</v>
      </c>
      <c r="B21" s="8"/>
      <c r="C21" s="1"/>
      <c r="D21" s="1"/>
      <c r="E21" s="9"/>
    </row>
    <row r="22" spans="1:5" ht="29" customHeight="1">
      <c r="A22" s="7">
        <f>ROW()-ROW(D3d22[[#Headers],[ลำดับที่]])</f>
        <v>19</v>
      </c>
      <c r="B22" s="8"/>
      <c r="C22" s="1"/>
      <c r="D22" s="1"/>
      <c r="E22" s="9"/>
    </row>
    <row r="23" spans="1:5" ht="29" customHeight="1">
      <c r="A23" s="7">
        <f>ROW()-ROW(D3d22[[#Headers],[ลำดับที่]])</f>
        <v>20</v>
      </c>
      <c r="B23" s="8"/>
      <c r="C23" s="1"/>
      <c r="D23" s="1"/>
      <c r="E23" s="9"/>
    </row>
    <row r="24" spans="1:5" ht="29" customHeight="1">
      <c r="A24" s="7">
        <f>ROW()-ROW(D3d22[[#Headers],[ลำดับที่]])</f>
        <v>21</v>
      </c>
      <c r="B24" s="8"/>
      <c r="C24" s="1"/>
      <c r="D24" s="1"/>
      <c r="E24" s="9"/>
    </row>
    <row r="25" spans="1:5" ht="29" customHeight="1">
      <c r="A25" s="7">
        <f>ROW()-ROW(D3d22[[#Headers],[ลำดับที่]])</f>
        <v>22</v>
      </c>
      <c r="B25" s="8"/>
      <c r="C25" s="1"/>
      <c r="D25" s="1"/>
      <c r="E25" s="9"/>
    </row>
    <row r="26" spans="1:5" ht="29" customHeight="1">
      <c r="A26" s="7">
        <f>ROW()-ROW(D3d22[[#Headers],[ลำดับที่]])</f>
        <v>23</v>
      </c>
      <c r="B26" s="8"/>
      <c r="C26" s="1"/>
      <c r="D26" s="1"/>
      <c r="E26" s="9"/>
    </row>
    <row r="27" spans="1:5" ht="29" customHeight="1">
      <c r="A27" s="7">
        <f>ROW()-ROW(D3d22[[#Headers],[ลำดับที่]])</f>
        <v>24</v>
      </c>
      <c r="B27" s="8"/>
      <c r="C27" s="1"/>
      <c r="D27" s="1"/>
      <c r="E27" s="9"/>
    </row>
    <row r="28" spans="1:5" ht="29" customHeight="1">
      <c r="A28" s="7">
        <f>ROW()-ROW(D3d22[[#Headers],[ลำดับที่]])</f>
        <v>25</v>
      </c>
      <c r="B28" s="8"/>
      <c r="C28" s="1"/>
      <c r="D28" s="1"/>
      <c r="E28" s="9"/>
    </row>
    <row r="29" spans="1:5" ht="29" customHeight="1">
      <c r="A29" s="7">
        <f>ROW()-ROW(D3d22[[#Headers],[ลำดับที่]])</f>
        <v>26</v>
      </c>
      <c r="B29" s="8"/>
      <c r="C29" s="1"/>
      <c r="D29" s="1"/>
      <c r="E29" s="9"/>
    </row>
    <row r="30" spans="1:5" ht="29" customHeight="1">
      <c r="A30" s="7">
        <f>ROW()-ROW(D3d22[[#Headers],[ลำดับที่]])</f>
        <v>27</v>
      </c>
      <c r="B30" s="8"/>
      <c r="C30" s="1"/>
      <c r="D30" s="1"/>
      <c r="E30" s="9"/>
    </row>
    <row r="31" spans="1:5" ht="29" customHeight="1">
      <c r="A31" s="7">
        <f>ROW()-ROW(D3d22[[#Headers],[ลำดับที่]])</f>
        <v>28</v>
      </c>
      <c r="B31" s="8"/>
      <c r="C31" s="1"/>
      <c r="D31" s="1"/>
      <c r="E31" s="9"/>
    </row>
    <row r="32" spans="1:5" ht="29" customHeight="1">
      <c r="A32" s="7">
        <f>ROW()-ROW(D3d22[[#Headers],[ลำดับที่]])</f>
        <v>29</v>
      </c>
      <c r="B32" s="8"/>
      <c r="C32" s="1"/>
      <c r="D32" s="1"/>
      <c r="E32" s="9"/>
    </row>
    <row r="33" spans="1:5" ht="29" customHeight="1">
      <c r="A33" s="7">
        <f>ROW()-ROW(D3d22[[#Headers],[ลำดับที่]])</f>
        <v>30</v>
      </c>
      <c r="B33" s="8"/>
      <c r="C33" s="1"/>
      <c r="D33" s="1"/>
      <c r="E33" s="9"/>
    </row>
    <row r="34" spans="1:5" ht="29" customHeight="1">
      <c r="A34" s="7">
        <f>ROW()-ROW(D3d22[[#Headers],[ลำดับที่]])</f>
        <v>31</v>
      </c>
      <c r="B34" s="8"/>
      <c r="C34" s="1"/>
      <c r="D34" s="1"/>
      <c r="E34" s="9"/>
    </row>
    <row r="35" spans="1:5" ht="29" customHeight="1">
      <c r="A35" s="7">
        <f>ROW()-ROW(D3d22[[#Headers],[ลำดับที่]])</f>
        <v>32</v>
      </c>
      <c r="B35" s="8"/>
      <c r="C35" s="1"/>
      <c r="D35" s="1"/>
      <c r="E35" s="9"/>
    </row>
    <row r="36" spans="1:5" ht="29" customHeight="1">
      <c r="A36" s="7">
        <f>ROW()-ROW(D3d22[[#Headers],[ลำดับที่]])</f>
        <v>33</v>
      </c>
      <c r="B36" s="8"/>
      <c r="C36" s="1"/>
      <c r="D36" s="1"/>
      <c r="E36" s="9"/>
    </row>
    <row r="37" spans="1:5" ht="29" customHeight="1">
      <c r="A37" s="7">
        <f>ROW()-ROW(D3d22[[#Headers],[ลำดับที่]])</f>
        <v>34</v>
      </c>
      <c r="B37" s="8"/>
      <c r="C37" s="1"/>
      <c r="D37" s="1"/>
      <c r="E37" s="9"/>
    </row>
    <row r="38" spans="1:5" ht="29" customHeight="1">
      <c r="A38" s="7">
        <f>ROW()-ROW(D3d22[[#Headers],[ลำดับที่]])</f>
        <v>35</v>
      </c>
      <c r="B38" s="8"/>
      <c r="C38" s="1"/>
      <c r="D38" s="1"/>
      <c r="E38" s="9"/>
    </row>
    <row r="39" spans="1:5" ht="29" customHeight="1">
      <c r="A39" s="7">
        <f>ROW()-ROW(D3d22[[#Headers],[ลำดับที่]])</f>
        <v>36</v>
      </c>
      <c r="B39" s="8"/>
      <c r="C39" s="1"/>
      <c r="D39" s="1"/>
      <c r="E39" s="9"/>
    </row>
    <row r="40" spans="1:5" ht="29" customHeight="1">
      <c r="A40" s="7">
        <f>ROW()-ROW(D3d22[[#Headers],[ลำดับที่]])</f>
        <v>37</v>
      </c>
      <c r="B40" s="8"/>
      <c r="C40" s="1"/>
      <c r="D40" s="1"/>
      <c r="E40" s="9"/>
    </row>
    <row r="41" spans="1:5" ht="29" customHeight="1">
      <c r="A41" s="7">
        <f>ROW()-ROW(D3d22[[#Headers],[ลำดับที่]])</f>
        <v>38</v>
      </c>
      <c r="B41" s="8"/>
      <c r="C41" s="1"/>
      <c r="D41" s="1"/>
      <c r="E41" s="9"/>
    </row>
    <row r="42" spans="1:5" ht="29" customHeight="1">
      <c r="A42" s="7">
        <f>ROW()-ROW(D3d22[[#Headers],[ลำดับที่]])</f>
        <v>39</v>
      </c>
      <c r="B42" s="8"/>
      <c r="C42" s="1"/>
      <c r="D42" s="1"/>
      <c r="E42" s="9"/>
    </row>
    <row r="43" spans="1:5" ht="29" customHeight="1">
      <c r="A43" s="7">
        <f>ROW()-ROW(D3d22[[#Headers],[ลำดับที่]])</f>
        <v>40</v>
      </c>
      <c r="B43" s="8"/>
      <c r="C43" s="1"/>
      <c r="D43" s="1"/>
      <c r="E43" s="9"/>
    </row>
    <row r="44" spans="1:5" ht="29" customHeight="1">
      <c r="A44" s="7">
        <f>ROW()-ROW(D3d22[[#Headers],[ลำดับที่]])</f>
        <v>41</v>
      </c>
      <c r="B44" s="8"/>
      <c r="C44" s="1"/>
      <c r="D44" s="1"/>
      <c r="E44" s="9"/>
    </row>
    <row r="45" spans="1:5" ht="29" customHeight="1">
      <c r="A45" s="7">
        <f>ROW()-ROW(D3d22[[#Headers],[ลำดับที่]])</f>
        <v>42</v>
      </c>
      <c r="B45" s="8"/>
      <c r="C45" s="1"/>
      <c r="D45" s="1"/>
      <c r="E45" s="9"/>
    </row>
    <row r="46" spans="1:5" ht="29" customHeight="1">
      <c r="A46" s="7">
        <f>ROW()-ROW(D3d22[[#Headers],[ลำดับที่]])</f>
        <v>43</v>
      </c>
      <c r="B46" s="8"/>
      <c r="C46" s="1"/>
      <c r="D46" s="1"/>
      <c r="E46" s="9"/>
    </row>
    <row r="47" spans="1:5" ht="29" customHeight="1">
      <c r="A47" s="7">
        <f>ROW()-ROW(D3d22[[#Headers],[ลำดับที่]])</f>
        <v>44</v>
      </c>
      <c r="B47" s="8"/>
      <c r="C47" s="1"/>
      <c r="D47" s="1"/>
      <c r="E47" s="9"/>
    </row>
    <row r="48" spans="1:5" ht="29" customHeight="1">
      <c r="A48" s="7">
        <f>ROW()-ROW(D3d22[[#Headers],[ลำดับที่]])</f>
        <v>45</v>
      </c>
      <c r="B48" s="8"/>
      <c r="C48" s="1"/>
      <c r="D48" s="1"/>
      <c r="E48" s="9"/>
    </row>
    <row r="49" spans="1:5" ht="29" customHeight="1">
      <c r="A49" s="7">
        <f>ROW()-ROW(D3d22[[#Headers],[ลำดับที่]])</f>
        <v>46</v>
      </c>
      <c r="B49" s="8"/>
      <c r="C49" s="1"/>
      <c r="D49" s="1"/>
      <c r="E49" s="9"/>
    </row>
    <row r="50" spans="1:5" ht="29" customHeight="1">
      <c r="A50" s="7">
        <f>ROW()-ROW(D3d22[[#Headers],[ลำดับที่]])</f>
        <v>47</v>
      </c>
      <c r="B50" s="8"/>
      <c r="C50" s="1"/>
      <c r="D50" s="1"/>
      <c r="E50" s="9"/>
    </row>
    <row r="51" spans="1:5" ht="29" customHeight="1">
      <c r="A51" s="7">
        <f>ROW()-ROW(D3d22[[#Headers],[ลำดับที่]])</f>
        <v>48</v>
      </c>
      <c r="B51" s="8"/>
      <c r="C51" s="1"/>
      <c r="D51" s="1"/>
      <c r="E51" s="9"/>
    </row>
    <row r="52" spans="1:5" ht="29" customHeight="1">
      <c r="A52" s="7">
        <f>ROW()-ROW(D3d22[[#Headers],[ลำดับที่]])</f>
        <v>49</v>
      </c>
      <c r="B52" s="8"/>
      <c r="C52" s="1"/>
      <c r="D52" s="1"/>
      <c r="E52" s="9"/>
    </row>
    <row r="53" spans="1:5" ht="29" customHeight="1">
      <c r="A53" s="7">
        <f>ROW()-ROW(D3d22[[#Headers],[ลำดับที่]])</f>
        <v>50</v>
      </c>
      <c r="B53" s="8"/>
      <c r="C53" s="1"/>
      <c r="D53" s="1"/>
      <c r="E53" s="9"/>
    </row>
    <row r="54" spans="1:5" ht="29" customHeight="1">
      <c r="C54" s="10" t="s">
        <v>8</v>
      </c>
      <c r="D54" s="11">
        <f>SUM(D4:D53)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2 มี.ค.</vt:lpstr>
      <vt:lpstr>4 มี.ค.</vt:lpstr>
      <vt:lpstr>5 มี.ค.</vt:lpstr>
      <vt:lpstr>6 มี.ค.</vt:lpstr>
      <vt:lpstr>9 มี.ค.</vt:lpstr>
      <vt:lpstr>10 มี.ค.</vt:lpstr>
      <vt:lpstr>11 มี.ค.</vt:lpstr>
      <vt:lpstr>12 มี.ค.</vt:lpstr>
      <vt:lpstr>13 มี.ค.</vt:lpstr>
      <vt:lpstr>16 มี.ค.</vt:lpstr>
      <vt:lpstr>17 มี.ค.</vt:lpstr>
      <vt:lpstr>18 มี.ค.</vt:lpstr>
      <vt:lpstr>19 มี.ค.</vt:lpstr>
      <vt:lpstr>20 มี.ค.</vt:lpstr>
      <vt:lpstr>23 มี.ค.</vt:lpstr>
      <vt:lpstr>24 มี.ค.</vt:lpstr>
      <vt:lpstr>25 มี.ค.</vt:lpstr>
      <vt:lpstr>26 มี.ค.</vt:lpstr>
      <vt:lpstr>27 มี.ค.</vt:lpstr>
      <vt:lpstr>30 มี.ค.</vt:lpstr>
      <vt:lpstr>31 มี.ค.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Executive</cp:lastModifiedBy>
  <dcterms:created xsi:type="dcterms:W3CDTF">2026-02-21T09:40:43Z</dcterms:created>
  <dcterms:modified xsi:type="dcterms:W3CDTF">2026-03-10T09:55:12Z</dcterms:modified>
</cp:coreProperties>
</file>