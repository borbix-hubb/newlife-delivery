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borbix/Desktop/INTER/2026/"/>
    </mc:Choice>
  </mc:AlternateContent>
  <xr:revisionPtr revIDLastSave="0" documentId="13_ncr:1_{43C879BB-F42D-E747-B032-012E97BF446A}" xr6:coauthVersionLast="47" xr6:coauthVersionMax="47" xr10:uidLastSave="{00000000-0000-0000-0000-000000000000}"/>
  <bookViews>
    <workbookView xWindow="22960" yWindow="600" windowWidth="28240" windowHeight="26620" firstSheet="4" activeTab="8" xr2:uid="{00000000-000D-0000-FFFF-FFFF00000000}"/>
  </bookViews>
  <sheets>
    <sheet name="2 มี.ค." sheetId="1" r:id="rId1"/>
    <sheet name="3 มี.ค." sheetId="2" r:id="rId2"/>
    <sheet name="5 มี.ค.(เช้า)" sheetId="3" r:id="rId3"/>
    <sheet name="5 มี.ค. (บ่าย)" sheetId="4" r:id="rId4"/>
    <sheet name="7 มี.ค. (เช้า)" sheetId="5" r:id="rId5"/>
    <sheet name="7 มี.ค. (บ่าย)" sheetId="6" r:id="rId6"/>
    <sheet name="9 มี.ค." sheetId="7" r:id="rId7"/>
    <sheet name="10 มี.ค. (เช้า)" sheetId="8" r:id="rId8"/>
    <sheet name="10 มี.ค. (บ่าย)" sheetId="27" r:id="rId9"/>
    <sheet name="11 มี.ค." sheetId="9" r:id="rId10"/>
    <sheet name="12 มี.ค." sheetId="10" r:id="rId11"/>
    <sheet name="13 มี.ค." sheetId="11" r:id="rId12"/>
    <sheet name="14 มี.ค." sheetId="12" r:id="rId13"/>
    <sheet name="16 มี.ค." sheetId="13" r:id="rId14"/>
    <sheet name="17 มี.ค." sheetId="14" r:id="rId15"/>
    <sheet name="18 มี.ค." sheetId="15" r:id="rId16"/>
    <sheet name="19 มี.ค." sheetId="16" r:id="rId17"/>
    <sheet name="20 มี.ค." sheetId="17" r:id="rId18"/>
    <sheet name="21 มี.ค." sheetId="18" r:id="rId19"/>
    <sheet name="23 มี.ค." sheetId="19" r:id="rId20"/>
    <sheet name="24 มี.ค." sheetId="20" r:id="rId21"/>
    <sheet name="25 มี.ค." sheetId="21" r:id="rId22"/>
    <sheet name="26 มี.ค." sheetId="22" r:id="rId23"/>
    <sheet name="27 มี.ค." sheetId="23" r:id="rId24"/>
    <sheet name="28 มี.ค." sheetId="24" r:id="rId25"/>
    <sheet name="30 มี.ค." sheetId="25" r:id="rId26"/>
    <sheet name="31 มี.ค." sheetId="2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27" l="1"/>
  <c r="A13" i="27"/>
  <c r="A61" i="27"/>
  <c r="A11" i="27"/>
  <c r="A48" i="27"/>
  <c r="A28" i="27"/>
  <c r="A7" i="27"/>
  <c r="A41" i="27"/>
  <c r="A65" i="27"/>
  <c r="A20" i="27"/>
  <c r="A8" i="27"/>
  <c r="A12" i="27"/>
  <c r="A26" i="27"/>
  <c r="A29" i="27"/>
  <c r="A24" i="27"/>
  <c r="A33" i="27"/>
  <c r="A25" i="27"/>
  <c r="A60" i="27"/>
  <c r="A54" i="27"/>
  <c r="A10" i="27"/>
  <c r="A18" i="27"/>
  <c r="A32" i="27"/>
  <c r="A17" i="27"/>
  <c r="A43" i="27"/>
  <c r="A50" i="27"/>
  <c r="A55" i="27"/>
  <c r="A6" i="27"/>
  <c r="A19" i="27"/>
  <c r="A42" i="27"/>
  <c r="A47" i="27"/>
  <c r="A16" i="27"/>
  <c r="A5" i="27"/>
  <c r="A15" i="27"/>
  <c r="A46" i="27"/>
  <c r="A59" i="27"/>
  <c r="A23" i="27"/>
  <c r="A64" i="27"/>
  <c r="A14" i="27"/>
  <c r="A63" i="27"/>
  <c r="A27" i="27"/>
  <c r="A21" i="27"/>
  <c r="A56" i="27"/>
  <c r="A62" i="27"/>
  <c r="A44" i="27"/>
  <c r="A49" i="27"/>
  <c r="A38" i="27"/>
  <c r="A37" i="27"/>
  <c r="A22" i="27"/>
  <c r="A53" i="27"/>
  <c r="A36" i="27"/>
  <c r="A40" i="27"/>
  <c r="A58" i="27"/>
  <c r="A51" i="27"/>
  <c r="A52" i="27"/>
  <c r="A9" i="27"/>
  <c r="A35" i="27"/>
  <c r="A39" i="27"/>
  <c r="A34" i="27"/>
  <c r="A45" i="27"/>
  <c r="A30" i="27"/>
  <c r="A57" i="27"/>
  <c r="A4" i="27"/>
  <c r="A31" i="27"/>
  <c r="A24" i="7"/>
  <c r="D38" i="7"/>
  <c r="D78" i="6"/>
  <c r="A60" i="6"/>
  <c r="A29" i="6"/>
  <c r="A46" i="6"/>
  <c r="A51" i="6"/>
  <c r="A49" i="6"/>
  <c r="A54" i="6"/>
  <c r="A76" i="6"/>
  <c r="A65" i="6"/>
  <c r="A38" i="6"/>
  <c r="A53" i="6"/>
  <c r="A57" i="6"/>
  <c r="A28" i="6"/>
  <c r="A32" i="6"/>
  <c r="A71" i="6"/>
  <c r="A72" i="6"/>
  <c r="A6" i="6"/>
  <c r="A31" i="6"/>
  <c r="A69" i="6"/>
  <c r="A45" i="6"/>
  <c r="A37" i="6"/>
  <c r="A9" i="6"/>
  <c r="A5" i="6"/>
  <c r="A35" i="6"/>
  <c r="A70" i="6"/>
  <c r="D64" i="2"/>
  <c r="A43" i="2"/>
  <c r="A21" i="2"/>
  <c r="A41" i="2"/>
  <c r="A8" i="2"/>
  <c r="A19" i="2"/>
  <c r="A37" i="2"/>
  <c r="A52" i="2"/>
  <c r="A42" i="2"/>
  <c r="A35" i="2"/>
  <c r="A10" i="2"/>
  <c r="A57" i="1"/>
  <c r="A55" i="1"/>
  <c r="A56" i="1"/>
  <c r="A23" i="1"/>
  <c r="A27" i="1"/>
  <c r="A60" i="1"/>
  <c r="A42" i="1"/>
  <c r="A47" i="1"/>
  <c r="A20" i="1"/>
  <c r="D63" i="1"/>
  <c r="A32" i="1"/>
  <c r="D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D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D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D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D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D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D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D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D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D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D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D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D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D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D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D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D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D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D8" i="8"/>
  <c r="A5" i="8"/>
  <c r="A7" i="8"/>
  <c r="A4" i="8"/>
  <c r="A6" i="8"/>
  <c r="A13" i="7"/>
  <c r="A28" i="7"/>
  <c r="A21" i="7"/>
  <c r="A17" i="7"/>
  <c r="A33" i="7"/>
  <c r="A35" i="7"/>
  <c r="A34" i="7"/>
  <c r="A25" i="7"/>
  <c r="A37" i="7"/>
  <c r="A29" i="7"/>
  <c r="A32" i="7"/>
  <c r="A5" i="7"/>
  <c r="A31" i="7"/>
  <c r="A27" i="7"/>
  <c r="A16" i="7"/>
  <c r="A23" i="7"/>
  <c r="A20" i="7"/>
  <c r="A14" i="7"/>
  <c r="A12" i="7"/>
  <c r="A6" i="7"/>
  <c r="A26" i="7"/>
  <c r="A11" i="7"/>
  <c r="A10" i="7"/>
  <c r="A9" i="7"/>
  <c r="A4" i="7"/>
  <c r="A15" i="7"/>
  <c r="A22" i="7"/>
  <c r="A19" i="7"/>
  <c r="A8" i="7"/>
  <c r="A18" i="7"/>
  <c r="A30" i="7"/>
  <c r="A36" i="7"/>
  <c r="A7" i="7"/>
  <c r="A75" i="6"/>
  <c r="A64" i="6"/>
  <c r="A24" i="6"/>
  <c r="A59" i="6"/>
  <c r="A68" i="6"/>
  <c r="A74" i="6"/>
  <c r="A23" i="6"/>
  <c r="A39" i="6"/>
  <c r="A22" i="6"/>
  <c r="A21" i="6"/>
  <c r="A77" i="6"/>
  <c r="A63" i="6"/>
  <c r="A17" i="6"/>
  <c r="A44" i="6"/>
  <c r="A52" i="6"/>
  <c r="A67" i="6"/>
  <c r="A30" i="6"/>
  <c r="A16" i="6"/>
  <c r="A27" i="6"/>
  <c r="A26" i="6"/>
  <c r="A25" i="6"/>
  <c r="A12" i="6"/>
  <c r="A20" i="6"/>
  <c r="A73" i="6"/>
  <c r="A15" i="6"/>
  <c r="A34" i="6"/>
  <c r="A50" i="6"/>
  <c r="A42" i="6"/>
  <c r="A56" i="6"/>
  <c r="A41" i="6"/>
  <c r="A40" i="6"/>
  <c r="A66" i="6"/>
  <c r="A58" i="6"/>
  <c r="A62" i="6"/>
  <c r="A36" i="6"/>
  <c r="A8" i="6"/>
  <c r="A19" i="6"/>
  <c r="A4" i="6"/>
  <c r="A14" i="6"/>
  <c r="A55" i="6"/>
  <c r="A7" i="6"/>
  <c r="A11" i="6"/>
  <c r="A18" i="6"/>
  <c r="A61" i="6"/>
  <c r="A43" i="6"/>
  <c r="A33" i="6"/>
  <c r="A47" i="6"/>
  <c r="A10" i="6"/>
  <c r="A48" i="6"/>
  <c r="A13" i="6"/>
  <c r="D47" i="5"/>
  <c r="A30" i="5"/>
  <c r="A16" i="5"/>
  <c r="A19" i="5"/>
  <c r="A15" i="5"/>
  <c r="A36" i="5"/>
  <c r="A28" i="5"/>
  <c r="A46" i="5"/>
  <c r="A41" i="5"/>
  <c r="A17" i="5"/>
  <c r="A45" i="5"/>
  <c r="A14" i="5"/>
  <c r="A4" i="5"/>
  <c r="A26" i="5"/>
  <c r="A40" i="5"/>
  <c r="A27" i="5"/>
  <c r="A44" i="5"/>
  <c r="A24" i="5"/>
  <c r="A23" i="5"/>
  <c r="A13" i="5"/>
  <c r="A20" i="5"/>
  <c r="A18" i="5"/>
  <c r="A12" i="5"/>
  <c r="A42" i="5"/>
  <c r="A22" i="5"/>
  <c r="A11" i="5"/>
  <c r="A35" i="5"/>
  <c r="A43" i="5"/>
  <c r="A7" i="5"/>
  <c r="A10" i="5"/>
  <c r="A9" i="5"/>
  <c r="A32" i="5"/>
  <c r="A34" i="5"/>
  <c r="A31" i="5"/>
  <c r="A29" i="5"/>
  <c r="A8" i="5"/>
  <c r="A39" i="5"/>
  <c r="A6" i="5"/>
  <c r="A38" i="5"/>
  <c r="A21" i="5"/>
  <c r="A25" i="5"/>
  <c r="A33" i="5"/>
  <c r="A37" i="5"/>
  <c r="A5" i="5"/>
  <c r="D29" i="4"/>
  <c r="A25" i="4"/>
  <c r="A17" i="4"/>
  <c r="A18" i="4"/>
  <c r="A20" i="4"/>
  <c r="A26" i="4"/>
  <c r="A11" i="4"/>
  <c r="A5" i="4"/>
  <c r="A24" i="4"/>
  <c r="A16" i="4"/>
  <c r="A10" i="4"/>
  <c r="A28" i="4"/>
  <c r="A13" i="4"/>
  <c r="A9" i="4"/>
  <c r="A8" i="4"/>
  <c r="A21" i="4"/>
  <c r="A15" i="4"/>
  <c r="A27" i="4"/>
  <c r="A14" i="4"/>
  <c r="A6" i="4"/>
  <c r="A7" i="4"/>
  <c r="A4" i="4"/>
  <c r="A22" i="4"/>
  <c r="A19" i="4"/>
  <c r="A23" i="4"/>
  <c r="A12" i="4"/>
  <c r="D54" i="3"/>
  <c r="A37" i="3"/>
  <c r="A6" i="3"/>
  <c r="A39" i="3"/>
  <c r="A19" i="3"/>
  <c r="A47" i="3"/>
  <c r="A44" i="3"/>
  <c r="A42" i="3"/>
  <c r="A50" i="3"/>
  <c r="A49" i="3"/>
  <c r="A35" i="3"/>
  <c r="A5" i="3"/>
  <c r="A18" i="3"/>
  <c r="A17" i="3"/>
  <c r="A38" i="3"/>
  <c r="A46" i="3"/>
  <c r="A36" i="3"/>
  <c r="A45" i="3"/>
  <c r="A22" i="3"/>
  <c r="A12" i="3"/>
  <c r="A34" i="3"/>
  <c r="A27" i="3"/>
  <c r="A11" i="3"/>
  <c r="A4" i="3"/>
  <c r="A8" i="3"/>
  <c r="A20" i="3"/>
  <c r="A30" i="3"/>
  <c r="A53" i="3"/>
  <c r="A10" i="3"/>
  <c r="A15" i="3"/>
  <c r="A29" i="3"/>
  <c r="A43" i="3"/>
  <c r="A16" i="3"/>
  <c r="A24" i="3"/>
  <c r="A21" i="3"/>
  <c r="A26" i="3"/>
  <c r="A7" i="3"/>
  <c r="A48" i="3"/>
  <c r="A13" i="3"/>
  <c r="A23" i="3"/>
  <c r="A41" i="3"/>
  <c r="A40" i="3"/>
  <c r="A14" i="3"/>
  <c r="A9" i="3"/>
  <c r="A33" i="3"/>
  <c r="A51" i="3"/>
  <c r="A52" i="3"/>
  <c r="A25" i="3"/>
  <c r="A31" i="3"/>
  <c r="A28" i="3"/>
  <c r="A32" i="3"/>
  <c r="A63" i="2"/>
  <c r="A20" i="2"/>
  <c r="A18" i="2"/>
  <c r="A9" i="2"/>
  <c r="A60" i="2"/>
  <c r="A47" i="2"/>
  <c r="A5" i="2"/>
  <c r="A31" i="2"/>
  <c r="A29" i="2"/>
  <c r="A17" i="2"/>
  <c r="A54" i="2"/>
  <c r="A51" i="2"/>
  <c r="A50" i="2"/>
  <c r="A34" i="2"/>
  <c r="A59" i="2"/>
  <c r="A53" i="2"/>
  <c r="A4" i="2"/>
  <c r="A49" i="2"/>
  <c r="A7" i="2"/>
  <c r="A48" i="2"/>
  <c r="A6" i="2"/>
  <c r="A46" i="2"/>
  <c r="A58" i="2"/>
  <c r="A26" i="2"/>
  <c r="A28" i="2"/>
  <c r="A55" i="2"/>
  <c r="A16" i="2"/>
  <c r="A33" i="2"/>
  <c r="A32" i="2"/>
  <c r="A40" i="2"/>
  <c r="A57" i="2"/>
  <c r="A39" i="2"/>
  <c r="A27" i="2"/>
  <c r="A15" i="2"/>
  <c r="A25" i="2"/>
  <c r="A44" i="2"/>
  <c r="A56" i="2"/>
  <c r="A30" i="2"/>
  <c r="A62" i="2"/>
  <c r="A14" i="2"/>
  <c r="A24" i="2"/>
  <c r="A61" i="2"/>
  <c r="A13" i="2"/>
  <c r="A23" i="2"/>
  <c r="A38" i="2"/>
  <c r="A12" i="2"/>
  <c r="A11" i="2"/>
  <c r="A22" i="2"/>
  <c r="A36" i="2"/>
  <c r="A45" i="2"/>
  <c r="A26" i="1"/>
  <c r="A5" i="1"/>
  <c r="A21" i="1"/>
  <c r="A24" i="1"/>
  <c r="A19" i="1"/>
  <c r="A18" i="1"/>
  <c r="A13" i="1"/>
  <c r="A41" i="1"/>
  <c r="A59" i="1"/>
  <c r="A50" i="1"/>
  <c r="A62" i="1"/>
  <c r="A52" i="1"/>
  <c r="A29" i="1"/>
  <c r="A43" i="1"/>
  <c r="A15" i="1"/>
  <c r="A7" i="1"/>
  <c r="A54" i="1"/>
  <c r="A61" i="1"/>
  <c r="A49" i="1"/>
  <c r="A28" i="1"/>
  <c r="A17" i="1"/>
  <c r="A48" i="1"/>
  <c r="A8" i="1"/>
  <c r="A58" i="1"/>
  <c r="A14" i="1"/>
  <c r="A51" i="1"/>
  <c r="A45" i="1"/>
  <c r="A31" i="1"/>
  <c r="A22" i="1"/>
  <c r="A44" i="1"/>
  <c r="A53" i="1"/>
  <c r="A12" i="1"/>
  <c r="A25" i="1"/>
  <c r="A6" i="1"/>
  <c r="A30" i="1"/>
  <c r="A40" i="1"/>
  <c r="A46" i="1"/>
  <c r="A16" i="1"/>
  <c r="A39" i="1"/>
  <c r="A38" i="1"/>
  <c r="A37" i="1"/>
  <c r="A36" i="1"/>
  <c r="A35" i="1"/>
  <c r="A34" i="1"/>
  <c r="A9" i="1"/>
  <c r="A33" i="1"/>
  <c r="A11" i="1"/>
  <c r="A10" i="1"/>
  <c r="A4" i="1"/>
</calcChain>
</file>

<file path=xl/sharedStrings.xml><?xml version="1.0" encoding="utf-8"?>
<sst xmlns="http://schemas.openxmlformats.org/spreadsheetml/2006/main" count="1475" uniqueCount="871">
  <si>
    <t>ใบแจ้งส่งสินค้า บริษัท นิวไลฟ์ ฟาร์ม่า จำกัด</t>
  </si>
  <si>
    <t xml:space="preserve">               </t>
  </si>
  <si>
    <t>รายงานการส่งสินค้า วันที่ 2 มี.ค. 69</t>
  </si>
  <si>
    <t>ลำดับที่</t>
  </si>
  <si>
    <t>ชื่อร้านค้า/โรงพยาบาล/คลินิก</t>
  </si>
  <si>
    <t>จังหวัด</t>
  </si>
  <si>
    <t>จำนวน</t>
  </si>
  <si>
    <t>หมายเหตุ</t>
  </si>
  <si>
    <t>รวม</t>
  </si>
  <si>
    <t>รายงานการส่งสินค้า วันที่ 3 มี.ค. 69</t>
  </si>
  <si>
    <t>รายงานการส่งสินค้า วันที่ 9 มี.ค. 69</t>
  </si>
  <si>
    <t>รายงานการส่งสินค้า วันที่ 11 มี.ค. 69</t>
  </si>
  <si>
    <t>รายงานการส่งสินค้า วันที่ 12 มี.ค. 69</t>
  </si>
  <si>
    <t>รายงานการส่งสินค้า วันที่ 13 มี.ค. 69</t>
  </si>
  <si>
    <t>รายงานการส่งสินค้า วันที่ 14 มี.ค. 69</t>
  </si>
  <si>
    <t>รายงานการส่งสินค้า วันที่ 16 มี.ค. 69</t>
  </si>
  <si>
    <t>รายงานการส่งสินค้า วันที่ 17 มี.ค. 69</t>
  </si>
  <si>
    <t>รายงานการส่งสินค้า วันที่ 18 มี.ค. 69</t>
  </si>
  <si>
    <t>รายงานการส่งสินค้า วันที่ 19 มี.ค. 69</t>
  </si>
  <si>
    <t>รายงานการส่งสินค้า วันที่ 20 มี.ค. 69</t>
  </si>
  <si>
    <t>รายงานการส่งสินค้า วันที่ 21 มี.ค. 69</t>
  </si>
  <si>
    <t>รายงานการส่งสินค้า วันที่ 23 มี.ค. 69</t>
  </si>
  <si>
    <t>รายงานการส่งสินค้า วันที่ 24 มี.ค. 69</t>
  </si>
  <si>
    <t>รายงานการส่งสินค้า วันที่ 25 มี.ค. 69</t>
  </si>
  <si>
    <t>รายงานการส่งสินค้า วันที่ 26 มี.ค. 69</t>
  </si>
  <si>
    <t>รายงานการส่งสินค้า วันที่ 27 มี.ค. 69</t>
  </si>
  <si>
    <t>รายงานการส่งสินค้า วันที่ 28 มี.ค. 69</t>
  </si>
  <si>
    <t>รายงานการส่งสินค้า วันที่ 30 มี.ค. 69</t>
  </si>
  <si>
    <t>รายงานการส่งสินค้า วันที่ 31 มี.ค. 69</t>
  </si>
  <si>
    <t>มีนบุรีเภสัช</t>
  </si>
  <si>
    <t>กทม.</t>
  </si>
  <si>
    <t>IV69022864</t>
  </si>
  <si>
    <t>ศรีจันทร์ฟาร์มาซี</t>
  </si>
  <si>
    <t>ขอนแก่น</t>
  </si>
  <si>
    <t>IV69022889</t>
  </si>
  <si>
    <t>หจก.3เภสัชพลัส</t>
  </si>
  <si>
    <t>IV69022888</t>
  </si>
  <si>
    <t>ร้านทัศไนยเภสัช</t>
  </si>
  <si>
    <t>ภูเก็ต</t>
  </si>
  <si>
    <t>IV69022890</t>
  </si>
  <si>
    <t>บจก.ดรักเซ็นเตอร์ ขอนแก่น</t>
  </si>
  <si>
    <t>ขอนแกน</t>
  </si>
  <si>
    <t>IV69022887</t>
  </si>
  <si>
    <t>มนตรีฟาร์ม่า</t>
  </si>
  <si>
    <t>IV69022897</t>
  </si>
  <si>
    <t xml:space="preserve">ธรรมสรฟาร์มาซี สาขา 2 </t>
  </si>
  <si>
    <t>IV69022894</t>
  </si>
  <si>
    <t>กรกมลฟาร์มาซี</t>
  </si>
  <si>
    <t>IV69022895</t>
  </si>
  <si>
    <t xml:space="preserve">ธรรมสรฟาร์มาซี </t>
  </si>
  <si>
    <t>IV69022893</t>
  </si>
  <si>
    <t>กรกมลฟาร์มาซี สาขา 2</t>
  </si>
  <si>
    <t>IV69022896</t>
  </si>
  <si>
    <t>นครฟาร์ม่า</t>
  </si>
  <si>
    <t>IV69022892</t>
  </si>
  <si>
    <t>รพ.อมก๋อย</t>
  </si>
  <si>
    <t>เชียงใหม่</t>
  </si>
  <si>
    <t>IV69022902</t>
  </si>
  <si>
    <t>รพ.วังเหนือ</t>
  </si>
  <si>
    <t>ลำปาง</t>
  </si>
  <si>
    <t>IV69022901</t>
  </si>
  <si>
    <t>รพ.นาเชือก</t>
  </si>
  <si>
    <t>มหาสารคาม</t>
  </si>
  <si>
    <t>IV69022843</t>
  </si>
  <si>
    <t>ร้านอุดมเวชภัณฑ์</t>
  </si>
  <si>
    <t>พิจิตร</t>
  </si>
  <si>
    <t>IV69022984</t>
  </si>
  <si>
    <t>รพ.ยางตลาด</t>
  </si>
  <si>
    <t>กาฬสินธุ์</t>
  </si>
  <si>
    <t>IV69022747</t>
  </si>
  <si>
    <t>รพ.ลาดยาว</t>
  </si>
  <si>
    <t>นครสวรรค์</t>
  </si>
  <si>
    <t>IV69022912</t>
  </si>
  <si>
    <t>รพ.แวงน้อย</t>
  </si>
  <si>
    <t>IV69022841</t>
  </si>
  <si>
    <t>คลินิกเวชกรรมหมอสมศักดิ์</t>
  </si>
  <si>
    <t>สุโขทัย</t>
  </si>
  <si>
    <t>IV69022997</t>
  </si>
  <si>
    <t>รพ.ละอุ่น</t>
  </si>
  <si>
    <t>ระนอง</t>
  </si>
  <si>
    <t>IV69023005</t>
  </si>
  <si>
    <t>รพ.สามเงา</t>
  </si>
  <si>
    <t>ตาก</t>
  </si>
  <si>
    <t>IV69022787</t>
  </si>
  <si>
    <t>รพ.โพทะเล</t>
  </si>
  <si>
    <t>IV69022788</t>
  </si>
  <si>
    <t>ร้านยาเภสัชกรเริงศักดิ์</t>
  </si>
  <si>
    <t>IV69022994</t>
  </si>
  <si>
    <t>คลินิกหมอเรืองศักดิ์</t>
  </si>
  <si>
    <t>สกลนคร</t>
  </si>
  <si>
    <t>IV69022996</t>
  </si>
  <si>
    <t>รพ.คอนสาร</t>
  </si>
  <si>
    <t>ชัยภูมิ</t>
  </si>
  <si>
    <t>IV69022772</t>
  </si>
  <si>
    <t>รพ.กุมภวาปี</t>
  </si>
  <si>
    <t>อุดรธานี</t>
  </si>
  <si>
    <t>IV69022907</t>
  </si>
  <si>
    <t>รพ.ลานกระบือ</t>
  </si>
  <si>
    <t>กำแพงเพชร</t>
  </si>
  <si>
    <t>IV69022913</t>
  </si>
  <si>
    <t>รพ.ด่านซ้าย</t>
  </si>
  <si>
    <t>เลย</t>
  </si>
  <si>
    <t>IV69022914</t>
  </si>
  <si>
    <t>นพ.นิกร บุญแทน</t>
  </si>
  <si>
    <t>IV69022553,2898</t>
  </si>
  <si>
    <t>รพ.บึงกาฬ</t>
  </si>
  <si>
    <t>บึงกาฬ</t>
  </si>
  <si>
    <t>IV69022766</t>
  </si>
  <si>
    <t>รพ.วังสะพุง</t>
  </si>
  <si>
    <t>IV69022934</t>
  </si>
  <si>
    <t>รพ.ตาลสุม</t>
  </si>
  <si>
    <t>อุบลราชธานี</t>
  </si>
  <si>
    <t>IV69022903-05</t>
  </si>
  <si>
    <t>รพ.คีรีมาศ</t>
  </si>
  <si>
    <t>IV69022789</t>
  </si>
  <si>
    <t>รพ.หนองกุงศรี</t>
  </si>
  <si>
    <t>IV69022782</t>
  </si>
  <si>
    <t>รพ.เชียงรายประชานุเคราะห์</t>
  </si>
  <si>
    <t>เชียงราย</t>
  </si>
  <si>
    <t>IV69022792</t>
  </si>
  <si>
    <t>รพ.แพร่</t>
  </si>
  <si>
    <t>แพร่</t>
  </si>
  <si>
    <t>IV69022910</t>
  </si>
  <si>
    <t>รพ.ยโสธร</t>
  </si>
  <si>
    <t>ยโสธร</t>
  </si>
  <si>
    <t>IV69022795</t>
  </si>
  <si>
    <t>รพ.ห้วยราช</t>
  </si>
  <si>
    <t>บุรีรัมย์</t>
  </si>
  <si>
    <t>IV69022909</t>
  </si>
  <si>
    <t>รพ.ระโนด</t>
  </si>
  <si>
    <t>สงขลา</t>
  </si>
  <si>
    <t>IV69022911</t>
  </si>
  <si>
    <t>บจก.เมืองทองเภสัช</t>
  </si>
  <si>
    <t>IV69022983</t>
  </si>
  <si>
    <t>รพ.ขุขันธ์</t>
  </si>
  <si>
    <t>ศรีสะเกษ</t>
  </si>
  <si>
    <t>IV69022906</t>
  </si>
  <si>
    <t>รพ.พิชัย</t>
  </si>
  <si>
    <t>อุตรดิตถ์</t>
  </si>
  <si>
    <t>IV69022936</t>
  </si>
  <si>
    <t>รพ.กันทรวิชัย</t>
  </si>
  <si>
    <t>IV69022844</t>
  </si>
  <si>
    <t>รพ.สิรินธร</t>
  </si>
  <si>
    <t>IV69022842</t>
  </si>
  <si>
    <t>คุณอัชราภรณ์ กันธา</t>
  </si>
  <si>
    <t>บจก.โกดังยา</t>
  </si>
  <si>
    <t>69/020311,IV69022986</t>
  </si>
  <si>
    <t>คลินิกเวชกรรมหมอวินัย</t>
  </si>
  <si>
    <t>นครศรีธรรมราช</t>
  </si>
  <si>
    <t>IV69021773 คาดแดง</t>
  </si>
  <si>
    <t>นาเมืองเพชรการแพทย์</t>
  </si>
  <si>
    <t>ตรัง</t>
  </si>
  <si>
    <t>IV69030026,022995</t>
  </si>
  <si>
    <t>รพ.พหลพลพยุหเสนา</t>
  </si>
  <si>
    <t>กาญจนบุรี</t>
  </si>
  <si>
    <t>IV69022840</t>
  </si>
  <si>
    <t>รพ.ตาคลี</t>
  </si>
  <si>
    <t>IV69022784</t>
  </si>
  <si>
    <t>รพ.ทักษิณสุราษฯ</t>
  </si>
  <si>
    <t>สุราษฯ</t>
  </si>
  <si>
    <t>IV69022999</t>
  </si>
  <si>
    <t>บจก.ฟาร์มมิเลียร์</t>
  </si>
  <si>
    <t>IV69030060 คาดแดง</t>
  </si>
  <si>
    <t>คลินิกหมอชัยสิทธิ์</t>
  </si>
  <si>
    <t>IV69023047</t>
  </si>
  <si>
    <t>รพ.ท่าสองยาง</t>
  </si>
  <si>
    <t>IV69023020 คาดแดง</t>
  </si>
  <si>
    <t>IV69022790</t>
  </si>
  <si>
    <t>IV69022776</t>
  </si>
  <si>
    <t>คุณพิเชต พันธุ์แตง</t>
  </si>
  <si>
    <t>IV69023029</t>
  </si>
  <si>
    <t>หจก.น้ำเคี้ยวโอสถ</t>
  </si>
  <si>
    <t>IV69030040</t>
  </si>
  <si>
    <t>บ้านยาป่าข่อย</t>
  </si>
  <si>
    <t>IV69030041</t>
  </si>
  <si>
    <t>รพ.โคกศรีสุพรรณ</t>
  </si>
  <si>
    <t>IV69023014</t>
  </si>
  <si>
    <t>รพ.พุทธชินราช</t>
  </si>
  <si>
    <t>พิษณุโลก</t>
  </si>
  <si>
    <t>IV69023050</t>
  </si>
  <si>
    <t>รพ.ขนอม</t>
  </si>
  <si>
    <t>IV69022692</t>
  </si>
  <si>
    <t>รพ.นครพิงค์</t>
  </si>
  <si>
    <t>IV69023001</t>
  </si>
  <si>
    <t>บจก.ศิริเวชเมดิคอล</t>
  </si>
  <si>
    <t>IV69030051</t>
  </si>
  <si>
    <t>เภสัชกรเด่น</t>
  </si>
  <si>
    <t>IV69030047</t>
  </si>
  <si>
    <t>คลินิกเวชกรรมหมอสืบพงษ์</t>
  </si>
  <si>
    <t>IV69023045</t>
  </si>
  <si>
    <t>รพ.ดอยสะเก็ด</t>
  </si>
  <si>
    <t>IV69023003</t>
  </si>
  <si>
    <t>รพ.วารินชำราบ</t>
  </si>
  <si>
    <t>IV69022761</t>
  </si>
  <si>
    <t>คลินิกเวชกรรมสุริยะการแพทย์</t>
  </si>
  <si>
    <t>IV69030029,69/030006</t>
  </si>
  <si>
    <t>บิ๊กบีฟาร์มาซี</t>
  </si>
  <si>
    <t>IV69030044</t>
  </si>
  <si>
    <t>รพ.โขงเจียม</t>
  </si>
  <si>
    <t>IV69022762</t>
  </si>
  <si>
    <t>รพ.เวียงสา</t>
  </si>
  <si>
    <t>น่าน</t>
  </si>
  <si>
    <t>IV69022744</t>
  </si>
  <si>
    <t>บจก.สมบูรณ์เภสัช2009</t>
  </si>
  <si>
    <t>IV69023030</t>
  </si>
  <si>
    <t>รพ.ภูกระดึง</t>
  </si>
  <si>
    <t>IV69022763</t>
  </si>
  <si>
    <t>IV69023012</t>
  </si>
  <si>
    <t>IV69023004</t>
  </si>
  <si>
    <t>เจริญฟาร์มาซี</t>
  </si>
  <si>
    <t>IV69030045</t>
  </si>
  <si>
    <t>รพ.บรบือ</t>
  </si>
  <si>
    <t>IV69022771,69/020267</t>
  </si>
  <si>
    <t>บ้านยาดี</t>
  </si>
  <si>
    <t>IV69023039</t>
  </si>
  <si>
    <t>รพ.หว้านใหญ่</t>
  </si>
  <si>
    <t>มุกดาหาร</t>
  </si>
  <si>
    <t>IV69023015</t>
  </si>
  <si>
    <t>เทพรักษ์ฟาร์มาซี</t>
  </si>
  <si>
    <t>ประจวบฯ</t>
  </si>
  <si>
    <t>IV69023022,23</t>
  </si>
  <si>
    <t>คลินิกแพทย์ชัยสิทธิ์</t>
  </si>
  <si>
    <t>IV69023093</t>
  </si>
  <si>
    <t>ส.เภสัชกร</t>
  </si>
  <si>
    <t>IV69030042,43,69/030008</t>
  </si>
  <si>
    <t>รพ.แสวงหา</t>
  </si>
  <si>
    <t>อ่างทอง</t>
  </si>
  <si>
    <t>IV69022775</t>
  </si>
  <si>
    <t>รพ.ชุมแสง</t>
  </si>
  <si>
    <t>IV69022785</t>
  </si>
  <si>
    <t>คลินิคยา</t>
  </si>
  <si>
    <t>IV69023044</t>
  </si>
  <si>
    <t>รพ.อุดรธานี</t>
  </si>
  <si>
    <t>IV69022770</t>
  </si>
  <si>
    <t>IV69023046</t>
  </si>
  <si>
    <t>คลินิกหมอดารณี</t>
  </si>
  <si>
    <t>ชุมพร</t>
  </si>
  <si>
    <t>IV69023038</t>
  </si>
  <si>
    <t>บ้านยาคลองขุด</t>
  </si>
  <si>
    <t>IV69023088,89</t>
  </si>
  <si>
    <t>คลินิกหมอสุริยาพร</t>
  </si>
  <si>
    <t>IV69023037</t>
  </si>
  <si>
    <t>รพ.สุราษฯ</t>
  </si>
  <si>
    <t>IV69030052</t>
  </si>
  <si>
    <t>รพ.ฆ้องชัย</t>
  </si>
  <si>
    <t>IV69023013</t>
  </si>
  <si>
    <t>รพ.หนองบัวลำภู</t>
  </si>
  <si>
    <t>หนองบัวลำภู</t>
  </si>
  <si>
    <t>IV69022764</t>
  </si>
  <si>
    <t>รพ.สร้างคอม</t>
  </si>
  <si>
    <t>IV69022765</t>
  </si>
  <si>
    <t>บจก.ศูนย์ยาแอนด์ฟาร์มาซี กรุ๊ป</t>
  </si>
  <si>
    <t>ปัตตานี</t>
  </si>
  <si>
    <t>IV69023055-58,95</t>
  </si>
  <si>
    <t>รายา ฟาร์มาซี</t>
  </si>
  <si>
    <t>IV69023086,87</t>
  </si>
  <si>
    <t>รพ.ทั่วไปขนาดเล็กเวียงเวช</t>
  </si>
  <si>
    <t>IV69023049</t>
  </si>
  <si>
    <t>รพ.ศรีบุญเรือง</t>
  </si>
  <si>
    <t>IV69022767</t>
  </si>
  <si>
    <t>รพ.ดอยเต่า</t>
  </si>
  <si>
    <t>IV69023002</t>
  </si>
  <si>
    <t>รพ.จะแนะ</t>
  </si>
  <si>
    <t>นราธิวาส</t>
  </si>
  <si>
    <t>IV69030119</t>
  </si>
  <si>
    <t>คลินิกเด็๋กหมอชลรส-จิรารักษ์ คลินิก</t>
  </si>
  <si>
    <t>IV69030049</t>
  </si>
  <si>
    <t>รพ.ร่องคำ</t>
  </si>
  <si>
    <t>IV69022929</t>
  </si>
  <si>
    <t>รพ.นิคมน้ำอูน</t>
  </si>
  <si>
    <t>IV69023016</t>
  </si>
  <si>
    <t>รพ.นายูง</t>
  </si>
  <si>
    <t>IV69022769</t>
  </si>
  <si>
    <t>บ้านเภสัชร</t>
  </si>
  <si>
    <t>IV69030048</t>
  </si>
  <si>
    <t>ศูนย์ปฏิบัติการเภสัชชุมชน มช.</t>
  </si>
  <si>
    <t>IV69030093</t>
  </si>
  <si>
    <t>บ้านยา</t>
  </si>
  <si>
    <t>IV69030152,69/030020</t>
  </si>
  <si>
    <t>รพ.นาเยีย</t>
  </si>
  <si>
    <t>IV69030117 คาดแดง</t>
  </si>
  <si>
    <t>ร้านเภสัชมอชอ</t>
  </si>
  <si>
    <t>ลำพูน</t>
  </si>
  <si>
    <t>IV69030101</t>
  </si>
  <si>
    <t>บจก.พี เอ็ม แคร์</t>
  </si>
  <si>
    <t>IV69030154 คาดแดง</t>
  </si>
  <si>
    <t>รพ.กรงปินัง</t>
  </si>
  <si>
    <t>ยะลา</t>
  </si>
  <si>
    <t>IV69030118</t>
  </si>
  <si>
    <t>รพ.ชุมพรเขตรอุดมศักดิ์</t>
  </si>
  <si>
    <t>IV69022757</t>
  </si>
  <si>
    <t>ทุ่งยาวคลังยา</t>
  </si>
  <si>
    <t>IV69030072</t>
  </si>
  <si>
    <t>จินต์เภสัช</t>
  </si>
  <si>
    <t>IV69030153 คาดแดง</t>
  </si>
  <si>
    <t>หนองคาย</t>
  </si>
  <si>
    <t>IV69030074</t>
  </si>
  <si>
    <t>เต็งไตรรัตน์โอสถ</t>
  </si>
  <si>
    <t>IV69030094</t>
  </si>
  <si>
    <t>รพ.ปะนาเระ</t>
  </si>
  <si>
    <t>IV69030120</t>
  </si>
  <si>
    <t>ไพศาลเภสัช</t>
  </si>
  <si>
    <t>เชียงของการแพทย์</t>
  </si>
  <si>
    <t>IV69023042</t>
  </si>
  <si>
    <t>รพ.โกสุมพิสัย</t>
  </si>
  <si>
    <t>IV69023021</t>
  </si>
  <si>
    <t>รพ.วังทรายพูน</t>
  </si>
  <si>
    <t>IV69023019</t>
  </si>
  <si>
    <t>ท่งแชเภสัช</t>
  </si>
  <si>
    <t>IV69030073</t>
  </si>
  <si>
    <t>คลินิกเวชกรรมหมอสุกิจ</t>
  </si>
  <si>
    <t>พะเยา</t>
  </si>
  <si>
    <t>IV69030079</t>
  </si>
  <si>
    <t>รพ.สรรพสิทธิประสงค์</t>
  </si>
  <si>
    <t>IV69023052,69030038</t>
  </si>
  <si>
    <t>รพ.ฟากท่า</t>
  </si>
  <si>
    <t>IV69030056</t>
  </si>
  <si>
    <t>รพ.วาปีปทุม</t>
  </si>
  <si>
    <t>IV69030083</t>
  </si>
  <si>
    <t>คลินิกนพ.เรืองยศ</t>
  </si>
  <si>
    <t>IV69030078</t>
  </si>
  <si>
    <t>รพ.ท่าแซะ</t>
  </si>
  <si>
    <t>IV69030057</t>
  </si>
  <si>
    <t>โอเดียนฟาร์มาซี</t>
  </si>
  <si>
    <t>IV69030133</t>
  </si>
  <si>
    <t>คลินิกยาหาดใหญ่</t>
  </si>
  <si>
    <t>IV69030134</t>
  </si>
  <si>
    <t>สถานียา</t>
  </si>
  <si>
    <t>69/030033</t>
  </si>
  <si>
    <t>ส.ชัยภูมิเภสัช</t>
  </si>
  <si>
    <t>IV69030046</t>
  </si>
  <si>
    <t>IV69023007</t>
  </si>
  <si>
    <t>คลินิกเวชกรรมนพ.ธเนศ</t>
  </si>
  <si>
    <t>IV69030173</t>
  </si>
  <si>
    <t>คลินิกเสรีการแพทย์</t>
  </si>
  <si>
    <t>พังงา</t>
  </si>
  <si>
    <t>IV69030081</t>
  </si>
  <si>
    <t>คลินิกบุญส่งเวชกรรม</t>
  </si>
  <si>
    <t>IV69030172</t>
  </si>
  <si>
    <t>IV69030099</t>
  </si>
  <si>
    <t>ศรีบุรินทร์การแพทย์</t>
  </si>
  <si>
    <t>IV69022732</t>
  </si>
  <si>
    <t>คลองด่านเภสัช 2</t>
  </si>
  <si>
    <t>สมุทรปราการ</t>
  </si>
  <si>
    <t>IV69030129,30</t>
  </si>
  <si>
    <t>รพ.บางมูลนาก</t>
  </si>
  <si>
    <t>IV69023018</t>
  </si>
  <si>
    <t>คลินิกเมืองใหม่กาทรแพทย์</t>
  </si>
  <si>
    <t>IV69030098</t>
  </si>
  <si>
    <t>คลินิกนพ.ดล</t>
  </si>
  <si>
    <t>IV69030140</t>
  </si>
  <si>
    <t>รพ.กุดข้าวปุ้น</t>
  </si>
  <si>
    <t>IV69030037</t>
  </si>
  <si>
    <t>IV69020317</t>
  </si>
  <si>
    <t>อุดมเวชภัณฑ์</t>
  </si>
  <si>
    <t>IV69030135</t>
  </si>
  <si>
    <t>รพ.ไทรงาม</t>
  </si>
  <si>
    <t>IV69030174</t>
  </si>
  <si>
    <t>คลินิกหมอปองขวัญ</t>
  </si>
  <si>
    <t>กระบี่</t>
  </si>
  <si>
    <t>IV69030142</t>
  </si>
  <si>
    <t>บจก.เภสัชกรประสิทธิ์</t>
  </si>
  <si>
    <t>IV69030138</t>
  </si>
  <si>
    <t>รพ.คุระบุรีชัยพัฒน์</t>
  </si>
  <si>
    <t>IV69030151</t>
  </si>
  <si>
    <t>บจก.แสงอรุณเภสัช</t>
  </si>
  <si>
    <t>IV69030136</t>
  </si>
  <si>
    <t>คลินิกหมอยา</t>
  </si>
  <si>
    <t>IV69030137</t>
  </si>
  <si>
    <t>ร้านสุกฤษฟามาซี</t>
  </si>
  <si>
    <t>IV69030179,69/030023</t>
  </si>
  <si>
    <t>คลังยาเภสัช</t>
  </si>
  <si>
    <t>IV69030066</t>
  </si>
  <si>
    <t>อุ้ยกวงโอสถ</t>
  </si>
  <si>
    <t>IV69030068</t>
  </si>
  <si>
    <t>บจก.ไทยฮั้วเภสัช</t>
  </si>
  <si>
    <t>IV69030065</t>
  </si>
  <si>
    <t>หมอโสภิดาคลินิก</t>
  </si>
  <si>
    <t>IV69030096</t>
  </si>
  <si>
    <t>รพ.ส่งเสริมสุขภาพตำบลแม่สาหลวง</t>
  </si>
  <si>
    <t>IV69030082</t>
  </si>
  <si>
    <t>รพ.แม่อาย</t>
  </si>
  <si>
    <t>IV69030055</t>
  </si>
  <si>
    <t>ยิ่งเจริญเภสัช</t>
  </si>
  <si>
    <t>IV69030069,70</t>
  </si>
  <si>
    <t>รพ.รามัน</t>
  </si>
  <si>
    <t>IV69023054</t>
  </si>
  <si>
    <t>นพ.สมสิทธิ์คลินิก</t>
  </si>
  <si>
    <t>IV69030322 คาดแดง</t>
  </si>
  <si>
    <t>บจก.ฟอร์เต้ 2016</t>
  </si>
  <si>
    <t>IV69030092,69023031</t>
  </si>
  <si>
    <t>วังยา</t>
  </si>
  <si>
    <t>IV69030344 คาดแดง</t>
  </si>
  <si>
    <t>รพ.ทุ่งเสลี่ยม</t>
  </si>
  <si>
    <t>IV69030175-78</t>
  </si>
  <si>
    <t>IV69030253</t>
  </si>
  <si>
    <t>บจก.ธวัชฟาร์ม่า</t>
  </si>
  <si>
    <t>IV69030282</t>
  </si>
  <si>
    <t>บจก.ธีระเวชภัณฑ์</t>
  </si>
  <si>
    <t>IV69030281</t>
  </si>
  <si>
    <t>รพ.กมลาไสย</t>
  </si>
  <si>
    <t>IV69030341 คาดแดง</t>
  </si>
  <si>
    <t xml:space="preserve">หจก.เอ็ม เอส อาร์ เอ็น </t>
  </si>
  <si>
    <t>IV69030254</t>
  </si>
  <si>
    <t>รายงานการส่งสินค้า วันที่ 5 มี.ค.(เช้า)</t>
  </si>
  <si>
    <t>รายงานการส่งสินค้า วันที่ 5 มี.ค. 69 (บ่าย)</t>
  </si>
  <si>
    <t>คลินิกหมอวินัย</t>
  </si>
  <si>
    <t>IV69021773</t>
  </si>
  <si>
    <t>ภาวิณีคลินิกการพยาบาล</t>
  </si>
  <si>
    <t>IV69030097</t>
  </si>
  <si>
    <t>IV69030095</t>
  </si>
  <si>
    <t>รพ.สุวรรณภูมิ</t>
  </si>
  <si>
    <t>ร้อยเอ็ด</t>
  </si>
  <si>
    <t>IV69030084</t>
  </si>
  <si>
    <t>รพ.กระบุรี</t>
  </si>
  <si>
    <t>กระบุรี</t>
  </si>
  <si>
    <t>IV69030145</t>
  </si>
  <si>
    <t>รพ.ละแม</t>
  </si>
  <si>
    <t>IV69030146</t>
  </si>
  <si>
    <t>รพ.เขาสวนกวาง</t>
  </si>
  <si>
    <t>IV69030150</t>
  </si>
  <si>
    <t>รพ.สตึก</t>
  </si>
  <si>
    <t>IV69023008</t>
  </si>
  <si>
    <t>IV69030143,44</t>
  </si>
  <si>
    <t>รพ.ปราณบุรี</t>
  </si>
  <si>
    <t>IV69023051</t>
  </si>
  <si>
    <t>รพ.ขุนยวม</t>
  </si>
  <si>
    <t>แม่ฮ่องสอน</t>
  </si>
  <si>
    <t>IV69030054</t>
  </si>
  <si>
    <t>รพ.ปากน้ำหลังสวน</t>
  </si>
  <si>
    <t>IV69022397 คาดแดง</t>
  </si>
  <si>
    <t>หจก.ทีซีโอ เทรดดิ้ง</t>
  </si>
  <si>
    <t>IV69030404</t>
  </si>
  <si>
    <t>ศาลายบา</t>
  </si>
  <si>
    <t>IV69030267</t>
  </si>
  <si>
    <t>วิโรจน์เภสัช</t>
  </si>
  <si>
    <t>IV69030401 คาดแดง</t>
  </si>
  <si>
    <t>หจก.เอ็มเอส เมด แอนด์ เฮิร์บ</t>
  </si>
  <si>
    <t>IV69030403</t>
  </si>
  <si>
    <t>ร้านส.เภสัช</t>
  </si>
  <si>
    <t>IV69030321</t>
  </si>
  <si>
    <t>รพ.สะบ้าย้อย</t>
  </si>
  <si>
    <t>IV69030338</t>
  </si>
  <si>
    <t>คุณวรพัฒน์ ชัยวัฒน์</t>
  </si>
  <si>
    <t>IV69030325</t>
  </si>
  <si>
    <t>รพ.ห้วยยอด</t>
  </si>
  <si>
    <t>IV69030339</t>
  </si>
  <si>
    <t>ซินฮั่วเซ่ง</t>
  </si>
  <si>
    <t>สตูล</t>
  </si>
  <si>
    <t>IV69030266</t>
  </si>
  <si>
    <t>ร้านโอสถชุมชน</t>
  </si>
  <si>
    <t>IV69030268</t>
  </si>
  <si>
    <t>จารุพันธ์เภสัช</t>
  </si>
  <si>
    <t>IV69030405</t>
  </si>
  <si>
    <t>ร้านพรพรหมเวชภัณฑ์</t>
  </si>
  <si>
    <t>IV69030402</t>
  </si>
  <si>
    <t>คลินิกเด็กพญ.วาริชา</t>
  </si>
  <si>
    <t>IV69030455 คาดแดง</t>
  </si>
  <si>
    <t>คลินิกธวัชการแพทย์</t>
  </si>
  <si>
    <t>จันทบุรี</t>
  </si>
  <si>
    <t>IV69030272</t>
  </si>
  <si>
    <t>เศรษฐกิจเวชภัณฑ์</t>
  </si>
  <si>
    <t>IV69030265</t>
  </si>
  <si>
    <t>คณะบุคคลเภสัชกรเถิน</t>
  </si>
  <si>
    <t>IV69030313</t>
  </si>
  <si>
    <t>ส.เจริญเภสัช</t>
  </si>
  <si>
    <t>IV69030315</t>
  </si>
  <si>
    <t>รพ.ทุ่งสง</t>
  </si>
  <si>
    <t>IV69030329</t>
  </si>
  <si>
    <t>IV69030264</t>
  </si>
  <si>
    <t>ไอ+โอเดิร์นเภสัช</t>
  </si>
  <si>
    <t>IV69030259,60</t>
  </si>
  <si>
    <t>บจก.อโดนาย แฟมเมด</t>
  </si>
  <si>
    <t>IV69030316</t>
  </si>
  <si>
    <t>คลินิกหมอโอภาส</t>
  </si>
  <si>
    <t>IV69030488,69/030050</t>
  </si>
  <si>
    <t>รุ่งโรจน์ฟาร์มาซี</t>
  </si>
  <si>
    <t>เพชรบูรณ์</t>
  </si>
  <si>
    <t>IV69030416</t>
  </si>
  <si>
    <t>บจก.รพ.สัตว์ ซี เอฟ เอ</t>
  </si>
  <si>
    <t>IV69030351</t>
  </si>
  <si>
    <t>รพ.แจ้ห่ม</t>
  </si>
  <si>
    <t>IV69030355</t>
  </si>
  <si>
    <t>รพ.ระนอง</t>
  </si>
  <si>
    <t>IV69030053</t>
  </si>
  <si>
    <t>IV69030277</t>
  </si>
  <si>
    <t>รพ.แม่วาง</t>
  </si>
  <si>
    <t>IV69030356</t>
  </si>
  <si>
    <t>ถาวรฟาร์ม่า</t>
  </si>
  <si>
    <t>IV69030261,62</t>
  </si>
  <si>
    <t>IV69030258</t>
  </si>
  <si>
    <t>รพ.สบปราบ</t>
  </si>
  <si>
    <t>IV69030280</t>
  </si>
  <si>
    <t>IV69030276</t>
  </si>
  <si>
    <t>รพ.ชะอวด</t>
  </si>
  <si>
    <t>IV69030340</t>
  </si>
  <si>
    <t>จิวัฒน์เวชภัณฑ์</t>
  </si>
  <si>
    <t>IV69030320</t>
  </si>
  <si>
    <t>พร้อมยาแม่ริม</t>
  </si>
  <si>
    <t>IV69030311</t>
  </si>
  <si>
    <t>IV69030345,46</t>
  </si>
  <si>
    <t>รพ.ค่ายพระยอดเมืองขวาง</t>
  </si>
  <si>
    <t>นครพนม</t>
  </si>
  <si>
    <t>IV69030359</t>
  </si>
  <si>
    <t>จุฑาเทพเภสัช</t>
  </si>
  <si>
    <t>IV69030312</t>
  </si>
  <si>
    <t>ศรีภูธรโอสถ 3</t>
  </si>
  <si>
    <t>IV69030421</t>
  </si>
  <si>
    <t>คลินิกเวชกรรมนพ.กิตติศักดิ์</t>
  </si>
  <si>
    <t>IV69030437</t>
  </si>
  <si>
    <t>รพ.พนม</t>
  </si>
  <si>
    <t>IV69023000</t>
  </si>
  <si>
    <t>หจก.เม้งฟาร์าซี</t>
  </si>
  <si>
    <t>IV69030418</t>
  </si>
  <si>
    <t>พีพีเภสัช</t>
  </si>
  <si>
    <t>IV69030434</t>
  </si>
  <si>
    <t>จีทีเอส ฟาร์มาซี</t>
  </si>
  <si>
    <t>IV69030465</t>
  </si>
  <si>
    <t>รักษ์ยาเภสัช</t>
  </si>
  <si>
    <t>IV69030427</t>
  </si>
  <si>
    <t>คลินิกเวชหรรมหมอสวนดอกหนองหาร</t>
  </si>
  <si>
    <t>IV69030323,69/030034</t>
  </si>
  <si>
    <t>ยาดีเภสัช</t>
  </si>
  <si>
    <t>IV69030337,69/030035</t>
  </si>
  <si>
    <t>นพ.ธนวินท์คลินิก</t>
  </si>
  <si>
    <t>IV69030655 คาดแดง</t>
  </si>
  <si>
    <t>บจก.รวมชัยประชารักษ์</t>
  </si>
  <si>
    <t>สมุทรสาคร</t>
  </si>
  <si>
    <t>IV69030014</t>
  </si>
  <si>
    <t>บจก.อุตรดิตถ์เภสัชกร</t>
  </si>
  <si>
    <t>IV69030422</t>
  </si>
  <si>
    <t>คลินิกเวชกรรมแพทย์ปรีดี</t>
  </si>
  <si>
    <t>IV69030327</t>
  </si>
  <si>
    <t>คลินิกนพ.สมยศ</t>
  </si>
  <si>
    <t>IV69030654 คาดแดง</t>
  </si>
  <si>
    <t>หมอโตคลินิก</t>
  </si>
  <si>
    <t>IV69030464</t>
  </si>
  <si>
    <t>คลินิกนพ.พิพัฒ</t>
  </si>
  <si>
    <t>IV69030352,53</t>
  </si>
  <si>
    <t>รพ.ไชยปราการ</t>
  </si>
  <si>
    <t>IV69030354</t>
  </si>
  <si>
    <t>ร้านยาเภสัชโอ๊ค</t>
  </si>
  <si>
    <t>IV69030348</t>
  </si>
  <si>
    <t>รายงานการส่งสินค้า วันที่ 7 มี.ค. (เช้า)</t>
  </si>
  <si>
    <t>รพ.สมเด็จพระญาณสังวร</t>
  </si>
  <si>
    <t>IV69030336</t>
  </si>
  <si>
    <t>ยาเภสัชกร</t>
  </si>
  <si>
    <t>IV69030451</t>
  </si>
  <si>
    <t>รพ.แก้งคร้อ</t>
  </si>
  <si>
    <t>IV69030334</t>
  </si>
  <si>
    <t>พัทลุงฟาร์มาซี</t>
  </si>
  <si>
    <t>พัทลุง</t>
  </si>
  <si>
    <t>IV69030424</t>
  </si>
  <si>
    <t>อภิญญาเภสัช</t>
  </si>
  <si>
    <t>IV69030426</t>
  </si>
  <si>
    <t>สยามเภสัช</t>
  </si>
  <si>
    <t>IV69030413,14</t>
  </si>
  <si>
    <t>IV69030415</t>
  </si>
  <si>
    <t>IV69030551</t>
  </si>
  <si>
    <t>คลินิกหมอมีเดชเวชกรรม</t>
  </si>
  <si>
    <t>IV69030554,69/030053</t>
  </si>
  <si>
    <t>บจก.ต้นเภสัช</t>
  </si>
  <si>
    <t>IV69030632</t>
  </si>
  <si>
    <t>คลินิกเวชกรรมนพ.ปริญญา</t>
  </si>
  <si>
    <t>IV69030553</t>
  </si>
  <si>
    <t>แม่ขะจานคลินิก</t>
  </si>
  <si>
    <t>IV69030556</t>
  </si>
  <si>
    <t>คลินิกหมออนุชา</t>
  </si>
  <si>
    <t>IV69030435</t>
  </si>
  <si>
    <t>รพ.สะเมิง</t>
  </si>
  <si>
    <t>IV69030571</t>
  </si>
  <si>
    <t>IV69030635</t>
  </si>
  <si>
    <t>รพ.สวรรค์ประชารักษ์</t>
  </si>
  <si>
    <t>IV69030449</t>
  </si>
  <si>
    <t>เจริญสุขเภสัช</t>
  </si>
  <si>
    <t>IV69030629</t>
  </si>
  <si>
    <t>หจก.ห้องยาเภสัชกร</t>
  </si>
  <si>
    <t>IV69030633</t>
  </si>
  <si>
    <t>รพ.ศรีวิชัย</t>
  </si>
  <si>
    <t>IV69030561</t>
  </si>
  <si>
    <t>ร้านยอดพลเภสัช</t>
  </si>
  <si>
    <t>IV69030534</t>
  </si>
  <si>
    <t>คลินิกนพ.ศรัณย์</t>
  </si>
  <si>
    <t>IV69030622</t>
  </si>
  <si>
    <t>บจก.อีสานโอสถ</t>
  </si>
  <si>
    <t>IV69030649,69/030059</t>
  </si>
  <si>
    <t>คลินิกทันตกรรมพราวด์เดนทัล</t>
  </si>
  <si>
    <t>IV69030621</t>
  </si>
  <si>
    <t>รพ.วัดโบสถ์</t>
  </si>
  <si>
    <t>IV69030448</t>
  </si>
  <si>
    <t>คลินิกเวชกรรมกิตติการแพทย์</t>
  </si>
  <si>
    <t>IV69030675</t>
  </si>
  <si>
    <t>IV69030545</t>
  </si>
  <si>
    <t>คลินิกหมอวฤธ</t>
  </si>
  <si>
    <t>IV69030663</t>
  </si>
  <si>
    <t>หมอโตคลินิกเวชกรรม</t>
  </si>
  <si>
    <t>IV69030659</t>
  </si>
  <si>
    <t>ต้นน้ำฟาร์มาซี</t>
  </si>
  <si>
    <t>IV69030620</t>
  </si>
  <si>
    <t>นุลินญา ฟาร์มาซี</t>
  </si>
  <si>
    <t>IV69030712-15</t>
  </si>
  <si>
    <t>ตรังฟาร์ม่า</t>
  </si>
  <si>
    <t>IV69030716</t>
  </si>
  <si>
    <t>IV69030671</t>
  </si>
  <si>
    <t>บจก.ศรีบุรินทร์การแพทย์</t>
  </si>
  <si>
    <t>IV69030562</t>
  </si>
  <si>
    <t>พนาเภสัช</t>
  </si>
  <si>
    <t>IV69030644</t>
  </si>
  <si>
    <t>บจก.เจริญโอสถ 1986</t>
  </si>
  <si>
    <t>IV69030624</t>
  </si>
  <si>
    <t>รพ.เขาค้อ</t>
  </si>
  <si>
    <t>IV69030330</t>
  </si>
  <si>
    <t>รพ.ยะรัง</t>
  </si>
  <si>
    <t>IV69030660</t>
  </si>
  <si>
    <t>เชียงรายเภสัช</t>
  </si>
  <si>
    <t>IV69030648,69/030058,60</t>
  </si>
  <si>
    <t>IV69030630</t>
  </si>
  <si>
    <t>IV69030636-40</t>
  </si>
  <si>
    <t>รพ.จอมทอง</t>
  </si>
  <si>
    <t>IV69030357</t>
  </si>
  <si>
    <t>IV69030567</t>
  </si>
  <si>
    <t>เฮือนยา</t>
  </si>
  <si>
    <t>IV69030645</t>
  </si>
  <si>
    <t>IV69030570</t>
  </si>
  <si>
    <t>คลินิกหมอชูชาติ</t>
  </si>
  <si>
    <t>IV69030668</t>
  </si>
  <si>
    <t>คลินิกยาท่าทอง</t>
  </si>
  <si>
    <t>IV69030656</t>
  </si>
  <si>
    <t>คลินิกนพ.สุพัตร</t>
  </si>
  <si>
    <t>IV69030661</t>
  </si>
  <si>
    <t>จองบินคลินิก</t>
  </si>
  <si>
    <t>IV69090658</t>
  </si>
  <si>
    <t>คลังยาสวนตูล</t>
  </si>
  <si>
    <t>IV69030631,727</t>
  </si>
  <si>
    <t>คลินิกเวชกรรมพรเทพการแพทย์</t>
  </si>
  <si>
    <t>IV69030664</t>
  </si>
  <si>
    <t>คลินิกนพ.กัมพล</t>
  </si>
  <si>
    <t>IV69030436</t>
  </si>
  <si>
    <t>บจก.หมอยา ฟาร์มาซี</t>
  </si>
  <si>
    <t>IV69030535</t>
  </si>
  <si>
    <t>บจก.ธีระเภสัช</t>
  </si>
  <si>
    <t>IV69030627</t>
  </si>
  <si>
    <t>ศูนย์ยานรา</t>
  </si>
  <si>
    <t>IV69030628</t>
  </si>
  <si>
    <t>หจก.ศรีโพธิ์ กรุ๊ป</t>
  </si>
  <si>
    <t>IV69030634</t>
  </si>
  <si>
    <t>พงษ์เภสัช</t>
  </si>
  <si>
    <t>IV69030406</t>
  </si>
  <si>
    <t>จุฬาเภสัช</t>
  </si>
  <si>
    <t>IV69030425</t>
  </si>
  <si>
    <t>ปิ๊กเภสัช</t>
  </si>
  <si>
    <t>IV69030653</t>
  </si>
  <si>
    <t>ไพรัตน์สหคลินิก</t>
  </si>
  <si>
    <t>IV69030676</t>
  </si>
  <si>
    <t>นพ.กมล คลินิก</t>
  </si>
  <si>
    <t>IV69030674</t>
  </si>
  <si>
    <t>อำไพการแพทย์คลินิก</t>
  </si>
  <si>
    <t>IV69030665,66,69/030061</t>
  </si>
  <si>
    <t>คลินิกแพทย์สรรเพชร</t>
  </si>
  <si>
    <t>IV69030669,69/030063</t>
  </si>
  <si>
    <t>กวงฮวดร้านยา</t>
  </si>
  <si>
    <t>IV69030670</t>
  </si>
  <si>
    <t>คลินิกแพทย์ณัฐพงษ์</t>
  </si>
  <si>
    <t>IV69030667,69/030062</t>
  </si>
  <si>
    <t>IV69030593</t>
  </si>
  <si>
    <t>IV69030592</t>
  </si>
  <si>
    <t>คลินิกหมอมนตรี-หมอปนัดดา</t>
  </si>
  <si>
    <t>IV69030797</t>
  </si>
  <si>
    <t>รพ.บ้านผือ</t>
  </si>
  <si>
    <t>IV69030744</t>
  </si>
  <si>
    <t>หมอเชิดชัยคลินิกเวชกรรม</t>
  </si>
  <si>
    <t>IV69030731</t>
  </si>
  <si>
    <t>รพ.กาฬสินธุ์</t>
  </si>
  <si>
    <t>IV69030745</t>
  </si>
  <si>
    <t>คลินิกหมอปิยพงษ์</t>
  </si>
  <si>
    <t>IV6903079 คาดแดง</t>
  </si>
  <si>
    <t>มนพรเภสัช</t>
  </si>
  <si>
    <t>IV69030740</t>
  </si>
  <si>
    <t>รพ.ทุ่งยางแดง</t>
  </si>
  <si>
    <t>IV69030691</t>
  </si>
  <si>
    <t>IV69030798</t>
  </si>
  <si>
    <t>รายงานการส่งสินค้า วันที่ 7 มี.ค. (บ่าย)</t>
  </si>
  <si>
    <t>รพ.ชัยภูมิ</t>
  </si>
  <si>
    <t>IV69030582</t>
  </si>
  <si>
    <t>คุณธัญญานุช กาทอง</t>
  </si>
  <si>
    <t>IV69030757</t>
  </si>
  <si>
    <t>จี้อันตึ๊ง</t>
  </si>
  <si>
    <t>IV69030753</t>
  </si>
  <si>
    <t>ธงชัยฟาร์มาซี</t>
  </si>
  <si>
    <t>IV69030732</t>
  </si>
  <si>
    <t>รพ.บ้านแท่น</t>
  </si>
  <si>
    <t>IV69030581</t>
  </si>
  <si>
    <t>IV69030694</t>
  </si>
  <si>
    <t>บจก.การันตี เมดิคอล</t>
  </si>
  <si>
    <t>IV69030762</t>
  </si>
  <si>
    <t>บจก.เอส อาร์ โอ เมดดิคอล</t>
  </si>
  <si>
    <t>IV69030742</t>
  </si>
  <si>
    <t>บจก.เลิศยาภัณฑ์</t>
  </si>
  <si>
    <t>IV69030738,39</t>
  </si>
  <si>
    <t>รพ.ลานนา 3</t>
  </si>
  <si>
    <t>IV69030679</t>
  </si>
  <si>
    <t>รพ.สันกำแพง</t>
  </si>
  <si>
    <t>IV69030685</t>
  </si>
  <si>
    <t>บจก.เชียงใหม่ธุรดกิจการแพทย์</t>
  </si>
  <si>
    <t>iV69030678</t>
  </si>
  <si>
    <t>IV69030687</t>
  </si>
  <si>
    <t>รพ.สอยดาว</t>
  </si>
  <si>
    <t>IV69030681</t>
  </si>
  <si>
    <t>รพ.แมคคอร์มิค</t>
  </si>
  <si>
    <t>IV69030677</t>
  </si>
  <si>
    <t>สว่างโอสถ2</t>
  </si>
  <si>
    <t>IV69030870</t>
  </si>
  <si>
    <t>ทิพย์โอสถ</t>
  </si>
  <si>
    <t>IV69030755,56</t>
  </si>
  <si>
    <t>รพ.เพชรบูรณ์</t>
  </si>
  <si>
    <t>IV69030580</t>
  </si>
  <si>
    <t>รพ.พรเจริญ</t>
  </si>
  <si>
    <t>IV69030699</t>
  </si>
  <si>
    <t>รพ.หนองสูง</t>
  </si>
  <si>
    <t>IV69030697</t>
  </si>
  <si>
    <t>คลินิกศรีพัฒน์การแพทย์</t>
  </si>
  <si>
    <t>IV69030927 คาดแดง</t>
  </si>
  <si>
    <t>บจก.ภาณุรังษี</t>
  </si>
  <si>
    <t>IV69030800,69/030075</t>
  </si>
  <si>
    <t>บจก.รพ.รวมแพทย์สุโขทัย</t>
  </si>
  <si>
    <t>IV69030441,946</t>
  </si>
  <si>
    <t>รพ.สมเด็จพระยุพราชเลิงนกทา</t>
  </si>
  <si>
    <t>IV69030935</t>
  </si>
  <si>
    <t>สหคลินิกหมออนุชิต</t>
  </si>
  <si>
    <t>IV69030759</t>
  </si>
  <si>
    <t>คลินิกนพ.วรชัย</t>
  </si>
  <si>
    <t>IV69030758</t>
  </si>
  <si>
    <t>69/030067</t>
  </si>
  <si>
    <t>IV69030686</t>
  </si>
  <si>
    <t>รพ.ชานุมาน</t>
  </si>
  <si>
    <t>อำนาจเจริญ</t>
  </si>
  <si>
    <t>IV69030786</t>
  </si>
  <si>
    <t>IV69030777</t>
  </si>
  <si>
    <t>รพ.ป่าบอน</t>
  </si>
  <si>
    <t>IV69030695</t>
  </si>
  <si>
    <t>รพ.มุกดาหาร</t>
  </si>
  <si>
    <t>IV69030975 คาดแดง</t>
  </si>
  <si>
    <t>ร้านเมืองงายฟาร์มาซี</t>
  </si>
  <si>
    <t>IV69030957,69/030088</t>
  </si>
  <si>
    <t>คลินิกหมอพลเทพ</t>
  </si>
  <si>
    <t>IV69030760 คาดแดง</t>
  </si>
  <si>
    <t>รพ.แม่ทะ</t>
  </si>
  <si>
    <t>IV69030684</t>
  </si>
  <si>
    <t>IV69030750</t>
  </si>
  <si>
    <t>IV69030775,76</t>
  </si>
  <si>
    <t>IV69030958,59</t>
  </si>
  <si>
    <t>รายงานการส่งสินค้า วันที่ 10 มี.ค. 69 (เช้า)</t>
  </si>
  <si>
    <t>IV69030970</t>
  </si>
  <si>
    <t>คลินิกแพทย์กัณฐัศ</t>
  </si>
  <si>
    <t>IV69030973</t>
  </si>
  <si>
    <t>ศิริวัฒน์คลินิก</t>
  </si>
  <si>
    <t>IV69030835</t>
  </si>
  <si>
    <t>บจก.คลินิกหมอหมาด กรุ๊ป</t>
  </si>
  <si>
    <t>IV69030978</t>
  </si>
  <si>
    <t>รพ.กะเปอร์</t>
  </si>
  <si>
    <t>IV69030848</t>
  </si>
  <si>
    <t>ชัยมงคลเภสัช</t>
  </si>
  <si>
    <t>IV69030815</t>
  </si>
  <si>
    <t>IV69030917,18</t>
  </si>
  <si>
    <t>เรือนเภสัชกร</t>
  </si>
  <si>
    <t>IV69030812</t>
  </si>
  <si>
    <t>รวมเวชภัณฑ์</t>
  </si>
  <si>
    <t>IV69030818</t>
  </si>
  <si>
    <t>บจก.วังเภสัชฟาร์มาซูติคอล</t>
  </si>
  <si>
    <t>IV69030808</t>
  </si>
  <si>
    <t>สว่างโอสถ สาขา3</t>
  </si>
  <si>
    <t>IV69030821</t>
  </si>
  <si>
    <t>หจก.ธนพลเภสัช</t>
  </si>
  <si>
    <t>IV69030820</t>
  </si>
  <si>
    <t>หจก.ประยูระเภสัช</t>
  </si>
  <si>
    <t>IV69030823</t>
  </si>
  <si>
    <t>IV69030814</t>
  </si>
  <si>
    <t>ใจดีเภสัช</t>
  </si>
  <si>
    <t>ปวีณาเภสัช</t>
  </si>
  <si>
    <t>IV69030809</t>
  </si>
  <si>
    <t>IV69030819</t>
  </si>
  <si>
    <t>หจก.วสันต์เภสัช</t>
  </si>
  <si>
    <t>IV69030816</t>
  </si>
  <si>
    <t>บจก.ศรีเทพคลังยา</t>
  </si>
  <si>
    <t>IV69030811</t>
  </si>
  <si>
    <t>นิติเภสัช</t>
  </si>
  <si>
    <t>IV69030822</t>
  </si>
  <si>
    <t>วชิระเภสัช</t>
  </si>
  <si>
    <t>IV69030810</t>
  </si>
  <si>
    <t>รพ.50พรรษา มหาวชิราลงกรณ์</t>
  </si>
  <si>
    <t>IV69030772</t>
  </si>
  <si>
    <t>บจก.สนั่น ฟาร์มาซี</t>
  </si>
  <si>
    <t>IV69030934</t>
  </si>
  <si>
    <t>รพ.เกาะกูด</t>
  </si>
  <si>
    <t>ตราด</t>
  </si>
  <si>
    <t>IV69030568</t>
  </si>
  <si>
    <t>รพ.มหาราช นครศรีธรรมราช</t>
  </si>
  <si>
    <t>IV69030967</t>
  </si>
  <si>
    <t>รพ.ศรีเมืองใหม่</t>
  </si>
  <si>
    <t>IV69030773</t>
  </si>
  <si>
    <t>คลินิกหมอเกตุวลี</t>
  </si>
  <si>
    <t>69/030087</t>
  </si>
  <si>
    <t>IV69030774</t>
  </si>
  <si>
    <t>เภสัชกรหญิงสิริพรรณ</t>
  </si>
  <si>
    <t>IV69030817</t>
  </si>
  <si>
    <t>บจก.ส่งเสริมแมคดิคอล</t>
  </si>
  <si>
    <t>IV69030919</t>
  </si>
  <si>
    <t>น้ำโท้งเภสัช</t>
  </si>
  <si>
    <t>IV69030962</t>
  </si>
  <si>
    <t>หจก.จิบอังตึ๊งโอสถ</t>
  </si>
  <si>
    <t>IV69030960</t>
  </si>
  <si>
    <t>คลินิกสมพงษ์การแพทยื</t>
  </si>
  <si>
    <t>IV69030976</t>
  </si>
  <si>
    <t>ร้านชุมชนยา</t>
  </si>
  <si>
    <t>IV69030963</t>
  </si>
  <si>
    <t>เจียรจินดาเภสัช ตราบ่อน้ำ</t>
  </si>
  <si>
    <t>IV69030964</t>
  </si>
  <si>
    <t>บจก.เพื่อนยา</t>
  </si>
  <si>
    <t>IV69030968</t>
  </si>
  <si>
    <t>หมอวิชัยคลินิก</t>
  </si>
  <si>
    <t>IV69030979</t>
  </si>
  <si>
    <t>หจก.ยาดี1973</t>
  </si>
  <si>
    <t>IV69030802,851,69/030077</t>
  </si>
  <si>
    <t>คลินิกหมอมาโนช</t>
  </si>
  <si>
    <t>IV69030981</t>
  </si>
  <si>
    <t>รพ.ขุนหาญ</t>
  </si>
  <si>
    <t>ศรีสะเษ</t>
  </si>
  <si>
    <t>IV69031096</t>
  </si>
  <si>
    <t>ร้านคลังยายะลา</t>
  </si>
  <si>
    <t>IV69030980</t>
  </si>
  <si>
    <t>ร้านสันติสุขเภสัช</t>
  </si>
  <si>
    <t>IV69030956,69/030086</t>
  </si>
  <si>
    <t>อรุณเภสัช</t>
  </si>
  <si>
    <t>IV69030801,69/030076</t>
  </si>
  <si>
    <t>คลินิกเวชกรรมหมอสวนดอกหนองหาร</t>
  </si>
  <si>
    <t>IV69030752</t>
  </si>
  <si>
    <t>รพ.สมเด็จพระยุพราชกระนวน</t>
  </si>
  <si>
    <t>IV69030576</t>
  </si>
  <si>
    <t>รพ.เทพา</t>
  </si>
  <si>
    <t>IV69030952</t>
  </si>
  <si>
    <t>รามาฟาร์มาซี ตลาดไทยอีสาณ</t>
  </si>
  <si>
    <t>IV69031062</t>
  </si>
  <si>
    <t>คลินิกเวชกรรมหมอธันวา</t>
  </si>
  <si>
    <t>IV69031063</t>
  </si>
  <si>
    <t>IV69031061</t>
  </si>
  <si>
    <t>คลินิกโรคกระดูกและข้อ</t>
  </si>
  <si>
    <t>IV69030837</t>
  </si>
  <si>
    <t>สหคลินิกหมอเอ็นออม</t>
  </si>
  <si>
    <t>IV69030830</t>
  </si>
  <si>
    <t>บจก.ช.เภสัช</t>
  </si>
  <si>
    <t>IV69030961</t>
  </si>
  <si>
    <t>คลินิกหมอดวงหทัย</t>
  </si>
  <si>
    <t>IV69030831</t>
  </si>
  <si>
    <t>รพ.หนองปรือ</t>
  </si>
  <si>
    <t>IV69030771</t>
  </si>
  <si>
    <t>IV69030847</t>
  </si>
  <si>
    <t>IV69030846</t>
  </si>
  <si>
    <t>ทักษิณเภสัช</t>
  </si>
  <si>
    <t>IV69031032</t>
  </si>
  <si>
    <t>หมุยเภสัช</t>
  </si>
  <si>
    <t>IV69030891</t>
  </si>
  <si>
    <t>คลินิกหมอสุริยขาพร</t>
  </si>
  <si>
    <t>IV69030832</t>
  </si>
  <si>
    <t>รพ.ท่าอุเทน</t>
  </si>
  <si>
    <t>IV69031056 คาดแดง</t>
  </si>
  <si>
    <t>คลินิกเวชกรรมนพ.ศรัณย์</t>
  </si>
  <si>
    <t>IV69030754</t>
  </si>
  <si>
    <t>มีน่าฟาร์มาซี</t>
  </si>
  <si>
    <t>IV69031039 คาดแดง</t>
  </si>
  <si>
    <t>IV69031060 คาดแดง</t>
  </si>
  <si>
    <t xml:space="preserve">รายงานการส่งสินค้า วันที่ 10 มี.ค. (บ่าย)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</si>
</sst>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SukhumvitSet-Text"/>
    </font>
    <font>
      <b/>
      <sz val="14"/>
      <color rgb="FFFF0000"/>
      <name val="SukhumvitSet-Text"/>
    </font>
    <font>
      <sz val="12"/>
      <color theme="1"/>
      <name val="Sukhumvit Set"/>
      <family val="2"/>
    </font>
    <font>
      <sz val="14"/>
      <color rgb="FFFF0000"/>
      <name val="SukhumvitSet-Text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3d1" displayName="I3d1" ref="A3:E62">
  <autoFilter ref="A3:E62" xr:uid="{00000000-0009-0000-0100-000001000000}"/>
  <sortState xmlns:xlrd2="http://schemas.microsoft.com/office/spreadsheetml/2017/richdata2" ref="A4:E62">
    <sortCondition ref="C3:C62"/>
  </sortState>
  <tableColumns count="5">
    <tableColumn id="1" xr3:uid="{00000000-0010-0000-0000-000001000000}" name="ลำดับที่"/>
    <tableColumn id="2" xr3:uid="{00000000-0010-0000-0000-000002000000}" name="ชื่อร้านค้า/โรงพยาบาล/คลินิก"/>
    <tableColumn id="3" xr3:uid="{00000000-0010-0000-0000-000003000000}" name="จังหวัด"/>
    <tableColumn id="4" xr3:uid="{00000000-0010-0000-0000-000004000000}" name="จำนวน"/>
    <tableColumn id="5" xr3:uid="{00000000-0010-0000-0000-000005000000}" name="หมายเหตุ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3d2" displayName="I3d2" ref="A3:E63">
  <autoFilter ref="A3:E63" xr:uid="{00000000-0009-0000-0100-000002000000}"/>
  <sortState xmlns:xlrd2="http://schemas.microsoft.com/office/spreadsheetml/2017/richdata2" ref="A4:E63">
    <sortCondition ref="C3:C63"/>
  </sortState>
  <tableColumns count="5">
    <tableColumn id="1" xr3:uid="{00000000-0010-0000-0100-000001000000}" name="ลำดับที่"/>
    <tableColumn id="2" xr3:uid="{00000000-0010-0000-0100-000002000000}" name="ชื่อร้านค้า/โรงพยาบาล/คลินิก"/>
    <tableColumn id="3" xr3:uid="{00000000-0010-0000-0100-000003000000}" name="จังหวัด"/>
    <tableColumn id="4" xr3:uid="{00000000-0010-0000-0100-000004000000}" name="จำนวน"/>
    <tableColumn id="5" xr3:uid="{00000000-0010-0000-0100-000005000000}" name="หมายเหตุ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3d3" displayName="I3d3" ref="A3:E53">
  <autoFilter ref="A3:E53" xr:uid="{00000000-0009-0000-0100-000003000000}"/>
  <sortState xmlns:xlrd2="http://schemas.microsoft.com/office/spreadsheetml/2017/richdata2" ref="A4:E53">
    <sortCondition ref="C3:C53"/>
  </sortState>
  <tableColumns count="5">
    <tableColumn id="1" xr3:uid="{00000000-0010-0000-0200-000001000000}" name="ลำดับที่"/>
    <tableColumn id="2" xr3:uid="{00000000-0010-0000-0200-000002000000}" name="ชื่อร้านค้า/โรงพยาบาล/คลินิก"/>
    <tableColumn id="3" xr3:uid="{00000000-0010-0000-0200-000003000000}" name="จังหวัด"/>
    <tableColumn id="4" xr3:uid="{00000000-0010-0000-0200-000004000000}" name="จำนวน"/>
    <tableColumn id="5" xr3:uid="{00000000-0010-0000-0200-000005000000}" name="หมายเหต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3d4" displayName="I3d4" ref="A3:E28">
  <autoFilter ref="A3:E28" xr:uid="{00000000-0009-0000-0100-000004000000}"/>
  <sortState xmlns:xlrd2="http://schemas.microsoft.com/office/spreadsheetml/2017/richdata2" ref="A4:E28">
    <sortCondition ref="C3:C28"/>
  </sortState>
  <tableColumns count="5">
    <tableColumn id="1" xr3:uid="{00000000-0010-0000-0300-000001000000}" name="ลำดับที่"/>
    <tableColumn id="2" xr3:uid="{00000000-0010-0000-0300-000002000000}" name="ชื่อร้านค้า/โรงพยาบาล/คลินิก"/>
    <tableColumn id="3" xr3:uid="{00000000-0010-0000-0300-000003000000}" name="จังหวัด"/>
    <tableColumn id="4" xr3:uid="{00000000-0010-0000-0300-000004000000}" name="จำนวน"/>
    <tableColumn id="5" xr3:uid="{00000000-0010-0000-0300-000005000000}" name="หมายเหตุ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3d5" displayName="I3d5" ref="A3:E46">
  <autoFilter ref="A3:E46" xr:uid="{00000000-0009-0000-0100-000005000000}"/>
  <sortState xmlns:xlrd2="http://schemas.microsoft.com/office/spreadsheetml/2017/richdata2" ref="A4:E46">
    <sortCondition ref="C3:C46"/>
  </sortState>
  <tableColumns count="5">
    <tableColumn id="1" xr3:uid="{00000000-0010-0000-0400-000001000000}" name="ลำดับที่"/>
    <tableColumn id="2" xr3:uid="{00000000-0010-0000-0400-000002000000}" name="ชื่อร้านค้า/โรงพยาบาล/คลินิก"/>
    <tableColumn id="3" xr3:uid="{00000000-0010-0000-0400-000003000000}" name="จังหวัด"/>
    <tableColumn id="4" xr3:uid="{00000000-0010-0000-0400-000004000000}" name="จำนวน"/>
    <tableColumn id="5" xr3:uid="{00000000-0010-0000-0400-000005000000}" name="หมายเหตุ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3d6" displayName="I3d6" ref="A3:E77">
  <autoFilter ref="A3:E77" xr:uid="{00000000-0009-0000-0100-000006000000}"/>
  <sortState xmlns:xlrd2="http://schemas.microsoft.com/office/spreadsheetml/2017/richdata2" ref="A4:E77">
    <sortCondition ref="C3:C77"/>
  </sortState>
  <tableColumns count="5">
    <tableColumn id="1" xr3:uid="{00000000-0010-0000-0500-000001000000}" name="ลำดับที่"/>
    <tableColumn id="2" xr3:uid="{00000000-0010-0000-0500-000002000000}" name="ชื่อร้านค้า/โรงพยาบาล/คลินิก"/>
    <tableColumn id="3" xr3:uid="{00000000-0010-0000-0500-000003000000}" name="จังหวัด"/>
    <tableColumn id="4" xr3:uid="{00000000-0010-0000-0500-000004000000}" name="จำนวน"/>
    <tableColumn id="5" xr3:uid="{00000000-0010-0000-0500-000005000000}" name="หมายเหตุ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3d7" displayName="I3d7" ref="A3:E37">
  <autoFilter ref="A3:E37" xr:uid="{00000000-0009-0000-0100-000007000000}"/>
  <sortState xmlns:xlrd2="http://schemas.microsoft.com/office/spreadsheetml/2017/richdata2" ref="A4:E37">
    <sortCondition ref="C3:C37"/>
  </sortState>
  <tableColumns count="5">
    <tableColumn id="1" xr3:uid="{00000000-0010-0000-0600-000001000000}" name="ลำดับที่"/>
    <tableColumn id="2" xr3:uid="{00000000-0010-0000-0600-000002000000}" name="ชื่อร้านค้า/โรงพยาบาล/คลินิก"/>
    <tableColumn id="3" xr3:uid="{00000000-0010-0000-0600-000003000000}" name="จังหวัด"/>
    <tableColumn id="4" xr3:uid="{00000000-0010-0000-0600-000004000000}" name="จำนวน"/>
    <tableColumn id="5" xr3:uid="{00000000-0010-0000-0600-000005000000}" name="หมายเหตุ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3d8" displayName="I3d8" ref="A3:E7">
  <autoFilter ref="A3:E7" xr:uid="{00000000-0009-0000-0100-000008000000}"/>
  <sortState xmlns:xlrd2="http://schemas.microsoft.com/office/spreadsheetml/2017/richdata2" ref="A4:E7">
    <sortCondition ref="C3:C7"/>
  </sortState>
  <tableColumns count="5">
    <tableColumn id="1" xr3:uid="{00000000-0010-0000-0700-000001000000}" name="ลำดับที่"/>
    <tableColumn id="2" xr3:uid="{00000000-0010-0000-0700-000002000000}" name="ชื่อร้านค้า/โรงพยาบาล/คลินิก"/>
    <tableColumn id="3" xr3:uid="{00000000-0010-0000-0700-000003000000}" name="จังหวัด"/>
    <tableColumn id="4" xr3:uid="{00000000-0010-0000-0700-000004000000}" name="จำนวน"/>
    <tableColumn id="5" xr3:uid="{00000000-0010-0000-0700-000005000000}" name="หมายเหตุ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A710052-F366-9443-962F-708D75DC919C}" name="I3d828" displayName="I3d828" ref="A3:E65">
  <autoFilter ref="A3:E65" xr:uid="{00000000-0009-0000-0100-000008000000}"/>
  <sortState xmlns:xlrd2="http://schemas.microsoft.com/office/spreadsheetml/2017/richdata2" ref="A4:E65">
    <sortCondition ref="C3:C65"/>
  </sortState>
  <tableColumns count="5">
    <tableColumn id="1" xr3:uid="{5A2565BA-954E-F44C-B01F-0EB8AD107723}" name="ลำดับที่">
      <calculatedColumnFormula>ROW()-ROW(I3d828[[#Headers],[ลำดับที่]])</calculatedColumnFormula>
    </tableColumn>
    <tableColumn id="2" xr3:uid="{C1136069-BD93-2044-B75D-24F29B95FFA3}" name="ชื่อร้านค้า/โรงพยาบาล/คลินิก"/>
    <tableColumn id="3" xr3:uid="{DC536A43-C5F9-E541-AE91-4ACEEF59A834}" name="จังหวัด"/>
    <tableColumn id="4" xr3:uid="{A6BB1318-7A27-6744-BDAB-343CB2662038}" name="จำนวน"/>
    <tableColumn id="5" xr3:uid="{33F6E23F-0AFD-B149-8820-7E0944A84F98}" name="หมายเหตุ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3d9" displayName="I3d9" ref="A3:E53">
  <autoFilter ref="A3:E53" xr:uid="{00000000-0009-0000-0100-000009000000}"/>
  <tableColumns count="5">
    <tableColumn id="1" xr3:uid="{00000000-0010-0000-0800-000001000000}" name="ลำดับที่"/>
    <tableColumn id="2" xr3:uid="{00000000-0010-0000-0800-000002000000}" name="ชื่อร้านค้า/โรงพยาบาล/คลินิก"/>
    <tableColumn id="3" xr3:uid="{00000000-0010-0000-0800-000003000000}" name="จังหวัด"/>
    <tableColumn id="4" xr3:uid="{00000000-0010-0000-0800-000004000000}" name="จำนวน"/>
    <tableColumn id="5" xr3:uid="{00000000-0010-0000-0800-000005000000}" name="หมายเหตุ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3d10" displayName="I3d10" ref="A3:E53">
  <autoFilter ref="A3:E53" xr:uid="{00000000-0009-0000-0100-00000A000000}"/>
  <tableColumns count="5">
    <tableColumn id="1" xr3:uid="{00000000-0010-0000-0900-000001000000}" name="ลำดับที่"/>
    <tableColumn id="2" xr3:uid="{00000000-0010-0000-0900-000002000000}" name="ชื่อร้านค้า/โรงพยาบาล/คลินิก"/>
    <tableColumn id="3" xr3:uid="{00000000-0010-0000-0900-000003000000}" name="จังหวัด"/>
    <tableColumn id="4" xr3:uid="{00000000-0010-0000-0900-000004000000}" name="จำนวน"/>
    <tableColumn id="5" xr3:uid="{00000000-0010-0000-0900-000005000000}" name="หมายเหตุ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3d11" displayName="I3d11" ref="A3:E53">
  <autoFilter ref="A3:E53" xr:uid="{00000000-0009-0000-0100-00000B000000}"/>
  <tableColumns count="5">
    <tableColumn id="1" xr3:uid="{00000000-0010-0000-0A00-000001000000}" name="ลำดับที่"/>
    <tableColumn id="2" xr3:uid="{00000000-0010-0000-0A00-000002000000}" name="ชื่อร้านค้า/โรงพยาบาล/คลินิก"/>
    <tableColumn id="3" xr3:uid="{00000000-0010-0000-0A00-000003000000}" name="จังหวัด"/>
    <tableColumn id="4" xr3:uid="{00000000-0010-0000-0A00-000004000000}" name="จำนวน"/>
    <tableColumn id="5" xr3:uid="{00000000-0010-0000-0A00-000005000000}" name="หมายเหตุ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I3d12" displayName="I3d12" ref="A3:E53">
  <autoFilter ref="A3:E53" xr:uid="{00000000-0009-0000-0100-00000C000000}"/>
  <tableColumns count="5">
    <tableColumn id="1" xr3:uid="{00000000-0010-0000-0B00-000001000000}" name="ลำดับที่"/>
    <tableColumn id="2" xr3:uid="{00000000-0010-0000-0B00-000002000000}" name="ชื่อร้านค้า/โรงพยาบาล/คลินิก"/>
    <tableColumn id="3" xr3:uid="{00000000-0010-0000-0B00-000003000000}" name="จังหวัด"/>
    <tableColumn id="4" xr3:uid="{00000000-0010-0000-0B00-000004000000}" name="จำนวน"/>
    <tableColumn id="5" xr3:uid="{00000000-0010-0000-0B00-000005000000}" name="หมายเหตุ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3d13" displayName="I3d13" ref="A3:E53">
  <autoFilter ref="A3:E53" xr:uid="{00000000-0009-0000-0100-00000D000000}"/>
  <tableColumns count="5">
    <tableColumn id="1" xr3:uid="{00000000-0010-0000-0C00-000001000000}" name="ลำดับที่"/>
    <tableColumn id="2" xr3:uid="{00000000-0010-0000-0C00-000002000000}" name="ชื่อร้านค้า/โรงพยาบาล/คลินิก"/>
    <tableColumn id="3" xr3:uid="{00000000-0010-0000-0C00-000003000000}" name="จังหวัด"/>
    <tableColumn id="4" xr3:uid="{00000000-0010-0000-0C00-000004000000}" name="จำนวน"/>
    <tableColumn id="5" xr3:uid="{00000000-0010-0000-0C00-000005000000}" name="หมายเหตุ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I3d14" displayName="I3d14" ref="A3:E53">
  <autoFilter ref="A3:E53" xr:uid="{00000000-0009-0000-0100-00000E000000}"/>
  <tableColumns count="5">
    <tableColumn id="1" xr3:uid="{00000000-0010-0000-0D00-000001000000}" name="ลำดับที่"/>
    <tableColumn id="2" xr3:uid="{00000000-0010-0000-0D00-000002000000}" name="ชื่อร้านค้า/โรงพยาบาล/คลินิก"/>
    <tableColumn id="3" xr3:uid="{00000000-0010-0000-0D00-000003000000}" name="จังหวัด"/>
    <tableColumn id="4" xr3:uid="{00000000-0010-0000-0D00-000004000000}" name="จำนวน"/>
    <tableColumn id="5" xr3:uid="{00000000-0010-0000-0D00-000005000000}" name="หมายเหตุ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I3d15" displayName="I3d15" ref="A3:E53">
  <autoFilter ref="A3:E53" xr:uid="{00000000-0009-0000-0100-00000F000000}"/>
  <tableColumns count="5">
    <tableColumn id="1" xr3:uid="{00000000-0010-0000-0E00-000001000000}" name="ลำดับที่"/>
    <tableColumn id="2" xr3:uid="{00000000-0010-0000-0E00-000002000000}" name="ชื่อร้านค้า/โรงพยาบาล/คลินิก"/>
    <tableColumn id="3" xr3:uid="{00000000-0010-0000-0E00-000003000000}" name="จังหวัด"/>
    <tableColumn id="4" xr3:uid="{00000000-0010-0000-0E00-000004000000}" name="จำนวน"/>
    <tableColumn id="5" xr3:uid="{00000000-0010-0000-0E00-000005000000}" name="หมายเหตุ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I3d16" displayName="I3d16" ref="A3:E53">
  <autoFilter ref="A3:E53" xr:uid="{00000000-0009-0000-0100-000010000000}"/>
  <tableColumns count="5">
    <tableColumn id="1" xr3:uid="{00000000-0010-0000-0F00-000001000000}" name="ลำดับที่"/>
    <tableColumn id="2" xr3:uid="{00000000-0010-0000-0F00-000002000000}" name="ชื่อร้านค้า/โรงพยาบาล/คลินิก"/>
    <tableColumn id="3" xr3:uid="{00000000-0010-0000-0F00-000003000000}" name="จังหวัด"/>
    <tableColumn id="4" xr3:uid="{00000000-0010-0000-0F00-000004000000}" name="จำนวน"/>
    <tableColumn id="5" xr3:uid="{00000000-0010-0000-0F00-000005000000}" name="หมายเหตุ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I3d17" displayName="I3d17" ref="A3:E53">
  <autoFilter ref="A3:E53" xr:uid="{00000000-0009-0000-0100-000011000000}"/>
  <tableColumns count="5">
    <tableColumn id="1" xr3:uid="{00000000-0010-0000-1000-000001000000}" name="ลำดับที่"/>
    <tableColumn id="2" xr3:uid="{00000000-0010-0000-1000-000002000000}" name="ชื่อร้านค้า/โรงพยาบาล/คลินิก"/>
    <tableColumn id="3" xr3:uid="{00000000-0010-0000-1000-000003000000}" name="จังหวัด"/>
    <tableColumn id="4" xr3:uid="{00000000-0010-0000-1000-000004000000}" name="จำนวน"/>
    <tableColumn id="5" xr3:uid="{00000000-0010-0000-1000-000005000000}" name="หมายเหตุ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I3d18" displayName="I3d18" ref="A3:E53">
  <autoFilter ref="A3:E53" xr:uid="{00000000-0009-0000-0100-000012000000}"/>
  <tableColumns count="5">
    <tableColumn id="1" xr3:uid="{00000000-0010-0000-1100-000001000000}" name="ลำดับที่"/>
    <tableColumn id="2" xr3:uid="{00000000-0010-0000-1100-000002000000}" name="ชื่อร้านค้า/โรงพยาบาล/คลินิก"/>
    <tableColumn id="3" xr3:uid="{00000000-0010-0000-1100-000003000000}" name="จังหวัด"/>
    <tableColumn id="4" xr3:uid="{00000000-0010-0000-1100-000004000000}" name="จำนวน"/>
    <tableColumn id="5" xr3:uid="{00000000-0010-0000-1100-000005000000}" name="หมายเหตุ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I3d19" displayName="I3d19" ref="A3:E53">
  <autoFilter ref="A3:E53" xr:uid="{00000000-0009-0000-0100-000013000000}"/>
  <tableColumns count="5">
    <tableColumn id="1" xr3:uid="{00000000-0010-0000-1200-000001000000}" name="ลำดับที่"/>
    <tableColumn id="2" xr3:uid="{00000000-0010-0000-1200-000002000000}" name="ชื่อร้านค้า/โรงพยาบาล/คลินิก"/>
    <tableColumn id="3" xr3:uid="{00000000-0010-0000-1200-000003000000}" name="จังหวัด"/>
    <tableColumn id="4" xr3:uid="{00000000-0010-0000-1200-000004000000}" name="จำนวน"/>
    <tableColumn id="5" xr3:uid="{00000000-0010-0000-1200-000005000000}" name="หมายเหตุ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I3d20" displayName="I3d20" ref="A3:E53">
  <autoFilter ref="A3:E53" xr:uid="{00000000-0009-0000-0100-000014000000}"/>
  <tableColumns count="5">
    <tableColumn id="1" xr3:uid="{00000000-0010-0000-1300-000001000000}" name="ลำดับที่"/>
    <tableColumn id="2" xr3:uid="{00000000-0010-0000-1300-000002000000}" name="ชื่อร้านค้า/โรงพยาบาล/คลินิก"/>
    <tableColumn id="3" xr3:uid="{00000000-0010-0000-1300-000003000000}" name="จังหวัด"/>
    <tableColumn id="4" xr3:uid="{00000000-0010-0000-1300-000004000000}" name="จำนวน"/>
    <tableColumn id="5" xr3:uid="{00000000-0010-0000-1300-000005000000}" name="หมายเหตุ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I3d21" displayName="I3d21" ref="A3:E53">
  <autoFilter ref="A3:E53" xr:uid="{00000000-0009-0000-0100-000015000000}"/>
  <tableColumns count="5">
    <tableColumn id="1" xr3:uid="{00000000-0010-0000-1400-000001000000}" name="ลำดับที่"/>
    <tableColumn id="2" xr3:uid="{00000000-0010-0000-1400-000002000000}" name="ชื่อร้านค้า/โรงพยาบาล/คลินิก"/>
    <tableColumn id="3" xr3:uid="{00000000-0010-0000-1400-000003000000}" name="จังหวัด"/>
    <tableColumn id="4" xr3:uid="{00000000-0010-0000-1400-000004000000}" name="จำนวน"/>
    <tableColumn id="5" xr3:uid="{00000000-0010-0000-1400-000005000000}" name="หมายเหตุ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I3d22" displayName="I3d22" ref="A3:E53">
  <autoFilter ref="A3:E53" xr:uid="{00000000-0009-0000-0100-000016000000}"/>
  <tableColumns count="5">
    <tableColumn id="1" xr3:uid="{00000000-0010-0000-1500-000001000000}" name="ลำดับที่"/>
    <tableColumn id="2" xr3:uid="{00000000-0010-0000-1500-000002000000}" name="ชื่อร้านค้า/โรงพยาบาล/คลินิก"/>
    <tableColumn id="3" xr3:uid="{00000000-0010-0000-1500-000003000000}" name="จังหวัด"/>
    <tableColumn id="4" xr3:uid="{00000000-0010-0000-1500-000004000000}" name="จำนวน"/>
    <tableColumn id="5" xr3:uid="{00000000-0010-0000-1500-000005000000}" name="หมายเหตุ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I3d23" displayName="I3d23" ref="A3:E53">
  <autoFilter ref="A3:E53" xr:uid="{00000000-0009-0000-0100-000017000000}"/>
  <tableColumns count="5">
    <tableColumn id="1" xr3:uid="{00000000-0010-0000-1600-000001000000}" name="ลำดับที่"/>
    <tableColumn id="2" xr3:uid="{00000000-0010-0000-1600-000002000000}" name="ชื่อร้านค้า/โรงพยาบาล/คลินิก"/>
    <tableColumn id="3" xr3:uid="{00000000-0010-0000-1600-000003000000}" name="จังหวัด"/>
    <tableColumn id="4" xr3:uid="{00000000-0010-0000-1600-000004000000}" name="จำนวน"/>
    <tableColumn id="5" xr3:uid="{00000000-0010-0000-1600-000005000000}" name="หมายเหตุ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I3d24" displayName="I3d24" ref="A3:E53">
  <autoFilter ref="A3:E53" xr:uid="{00000000-0009-0000-0100-000018000000}"/>
  <tableColumns count="5">
    <tableColumn id="1" xr3:uid="{00000000-0010-0000-1700-000001000000}" name="ลำดับที่"/>
    <tableColumn id="2" xr3:uid="{00000000-0010-0000-1700-000002000000}" name="ชื่อร้านค้า/โรงพยาบาล/คลินิก"/>
    <tableColumn id="3" xr3:uid="{00000000-0010-0000-1700-000003000000}" name="จังหวัด"/>
    <tableColumn id="4" xr3:uid="{00000000-0010-0000-1700-000004000000}" name="จำนวน"/>
    <tableColumn id="5" xr3:uid="{00000000-0010-0000-1700-000005000000}" name="หมายเหตุ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I3d25" displayName="I3d25" ref="A3:E53">
  <autoFilter ref="A3:E53" xr:uid="{00000000-0009-0000-0100-000019000000}"/>
  <tableColumns count="5">
    <tableColumn id="1" xr3:uid="{00000000-0010-0000-1800-000001000000}" name="ลำดับที่"/>
    <tableColumn id="2" xr3:uid="{00000000-0010-0000-1800-000002000000}" name="ชื่อร้านค้า/โรงพยาบาล/คลินิก"/>
    <tableColumn id="3" xr3:uid="{00000000-0010-0000-1800-000003000000}" name="จังหวัด"/>
    <tableColumn id="4" xr3:uid="{00000000-0010-0000-1800-000004000000}" name="จำนวน"/>
    <tableColumn id="5" xr3:uid="{00000000-0010-0000-1800-000005000000}" name="หมายเหตุ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I3d26" displayName="I3d26" ref="A3:E53">
  <autoFilter ref="A3:E53" xr:uid="{00000000-0009-0000-0100-00001A000000}"/>
  <tableColumns count="5">
    <tableColumn id="1" xr3:uid="{00000000-0010-0000-1900-000001000000}" name="ลำดับที่"/>
    <tableColumn id="2" xr3:uid="{00000000-0010-0000-1900-000002000000}" name="ชื่อร้านค้า/โรงพยาบาล/คลินิก"/>
    <tableColumn id="3" xr3:uid="{00000000-0010-0000-1900-000003000000}" name="จังหวัด"/>
    <tableColumn id="4" xr3:uid="{00000000-0010-0000-1900-000004000000}" name="จำนวน"/>
    <tableColumn id="5" xr3:uid="{00000000-0010-0000-1900-000005000000}" name="หมายเหตุ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opLeftCell="A29" workbookViewId="0">
      <selection activeCell="B17" sqref="B17:E17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ROW()-ROW(I3d1[[#Headers],[ลำดับที่]])</f>
        <v>1</v>
      </c>
      <c r="B4" s="8" t="s">
        <v>29</v>
      </c>
      <c r="C4" s="1" t="s">
        <v>30</v>
      </c>
      <c r="D4" s="1">
        <v>1</v>
      </c>
      <c r="E4" s="9" t="s">
        <v>31</v>
      </c>
    </row>
    <row r="5" spans="1:5" ht="29" customHeight="1">
      <c r="A5" s="7">
        <f>ROW()-ROW(I3d1[[#Headers],[ลำดับที่]])</f>
        <v>2</v>
      </c>
      <c r="B5" s="8" t="s">
        <v>153</v>
      </c>
      <c r="C5" s="1" t="s">
        <v>154</v>
      </c>
      <c r="D5" s="1">
        <v>3</v>
      </c>
      <c r="E5" s="9" t="s">
        <v>155</v>
      </c>
    </row>
    <row r="6" spans="1:5" ht="29" customHeight="1">
      <c r="A6" s="7">
        <f>ROW()-ROW(I3d1[[#Headers],[ลำดับที่]])</f>
        <v>3</v>
      </c>
      <c r="B6" s="8" t="s">
        <v>67</v>
      </c>
      <c r="C6" s="1" t="s">
        <v>68</v>
      </c>
      <c r="D6" s="1">
        <v>1</v>
      </c>
      <c r="E6" s="9" t="s">
        <v>69</v>
      </c>
    </row>
    <row r="7" spans="1:5" ht="29" customHeight="1">
      <c r="A7" s="7">
        <f>ROW()-ROW(I3d1[[#Headers],[ลำดับที่]])</f>
        <v>4</v>
      </c>
      <c r="B7" s="8" t="s">
        <v>115</v>
      </c>
      <c r="C7" s="1" t="s">
        <v>68</v>
      </c>
      <c r="D7" s="1">
        <v>1</v>
      </c>
      <c r="E7" s="9" t="s">
        <v>116</v>
      </c>
    </row>
    <row r="8" spans="1:5" ht="29" customHeight="1">
      <c r="A8" s="7">
        <f>ROW()-ROW(I3d1[[#Headers],[ลำดับที่]])</f>
        <v>5</v>
      </c>
      <c r="B8" s="8" t="s">
        <v>97</v>
      </c>
      <c r="C8" s="1" t="s">
        <v>98</v>
      </c>
      <c r="D8" s="1">
        <v>3</v>
      </c>
      <c r="E8" s="9" t="s">
        <v>99</v>
      </c>
    </row>
    <row r="9" spans="1:5" ht="29" customHeight="1">
      <c r="A9" s="7">
        <f>ROW()-ROW(I3d1[[#Headers],[ลำดับที่]])</f>
        <v>6</v>
      </c>
      <c r="B9" s="8" t="s">
        <v>40</v>
      </c>
      <c r="C9" s="1" t="s">
        <v>41</v>
      </c>
      <c r="D9" s="1">
        <v>1</v>
      </c>
      <c r="E9" s="9" t="s">
        <v>42</v>
      </c>
    </row>
    <row r="10" spans="1:5" ht="29" customHeight="1">
      <c r="A10" s="7">
        <f>ROW()-ROW(I3d1[[#Headers],[ลำดับที่]])</f>
        <v>7</v>
      </c>
      <c r="B10" s="8" t="s">
        <v>32</v>
      </c>
      <c r="C10" s="1" t="s">
        <v>33</v>
      </c>
      <c r="D10" s="1">
        <v>2</v>
      </c>
      <c r="E10" s="9" t="s">
        <v>34</v>
      </c>
    </row>
    <row r="11" spans="1:5" ht="29" customHeight="1">
      <c r="A11" s="7">
        <f>ROW()-ROW(I3d1[[#Headers],[ลำดับที่]])</f>
        <v>8</v>
      </c>
      <c r="B11" s="8" t="s">
        <v>35</v>
      </c>
      <c r="C11" s="1" t="s">
        <v>33</v>
      </c>
      <c r="D11" s="1">
        <v>1</v>
      </c>
      <c r="E11" s="9" t="s">
        <v>36</v>
      </c>
    </row>
    <row r="12" spans="1:5" ht="29" customHeight="1">
      <c r="A12" s="7">
        <f>ROW()-ROW(I3d1[[#Headers],[ลำดับที่]])</f>
        <v>9</v>
      </c>
      <c r="B12" s="8" t="s">
        <v>73</v>
      </c>
      <c r="C12" s="1" t="s">
        <v>33</v>
      </c>
      <c r="D12" s="1">
        <v>1</v>
      </c>
      <c r="E12" s="9" t="s">
        <v>74</v>
      </c>
    </row>
    <row r="13" spans="1:5" ht="29" customHeight="1">
      <c r="A13" s="7">
        <f>ROW()-ROW(I3d1[[#Headers],[ลำดับที่]])</f>
        <v>10</v>
      </c>
      <c r="B13" s="8" t="s">
        <v>142</v>
      </c>
      <c r="C13" s="1" t="s">
        <v>33</v>
      </c>
      <c r="D13" s="1">
        <v>1</v>
      </c>
      <c r="E13" s="9" t="s">
        <v>143</v>
      </c>
    </row>
    <row r="14" spans="1:5" ht="29" customHeight="1">
      <c r="A14" s="7">
        <f>ROW()-ROW(I3d1[[#Headers],[ลำดับที่]])</f>
        <v>11</v>
      </c>
      <c r="B14" s="8" t="s">
        <v>91</v>
      </c>
      <c r="C14" s="1" t="s">
        <v>92</v>
      </c>
      <c r="D14" s="1">
        <v>1</v>
      </c>
      <c r="E14" s="9" t="s">
        <v>93</v>
      </c>
    </row>
    <row r="15" spans="1:5" ht="29" customHeight="1">
      <c r="A15" s="7">
        <f>ROW()-ROW(I3d1[[#Headers],[ลำดับที่]])</f>
        <v>12</v>
      </c>
      <c r="B15" s="8" t="s">
        <v>117</v>
      </c>
      <c r="C15" s="1" t="s">
        <v>118</v>
      </c>
      <c r="D15" s="1">
        <v>1</v>
      </c>
      <c r="E15" s="9" t="s">
        <v>119</v>
      </c>
    </row>
    <row r="16" spans="1:5" ht="29" customHeight="1">
      <c r="A16" s="7">
        <f>ROW()-ROW(I3d1[[#Headers],[ลำดับที่]])</f>
        <v>13</v>
      </c>
      <c r="B16" s="8" t="s">
        <v>55</v>
      </c>
      <c r="C16" s="1" t="s">
        <v>56</v>
      </c>
      <c r="D16" s="1">
        <v>5</v>
      </c>
      <c r="E16" s="9" t="s">
        <v>57</v>
      </c>
    </row>
    <row r="17" spans="1:5" ht="29" customHeight="1">
      <c r="A17" s="7">
        <f>ROW()-ROW(I3d1[[#Headers],[ลำดับที่]])</f>
        <v>14</v>
      </c>
      <c r="B17" s="8" t="s">
        <v>103</v>
      </c>
      <c r="C17" s="1" t="s">
        <v>56</v>
      </c>
      <c r="D17" s="1">
        <v>1</v>
      </c>
      <c r="E17" s="9" t="s">
        <v>104</v>
      </c>
    </row>
    <row r="18" spans="1:5" ht="29" customHeight="1">
      <c r="A18" s="7">
        <f>ROW()-ROW(I3d1[[#Headers],[ลำดับที่]])</f>
        <v>15</v>
      </c>
      <c r="B18" s="8" t="s">
        <v>144</v>
      </c>
      <c r="C18" s="1" t="s">
        <v>56</v>
      </c>
      <c r="D18" s="1">
        <v>1</v>
      </c>
      <c r="E18" s="9"/>
    </row>
    <row r="19" spans="1:5" ht="29" customHeight="1">
      <c r="A19" s="7">
        <f>ROW()-ROW(I3d1[[#Headers],[ลำดับที่]])</f>
        <v>16</v>
      </c>
      <c r="B19" s="8" t="s">
        <v>145</v>
      </c>
      <c r="C19" s="1" t="s">
        <v>56</v>
      </c>
      <c r="D19" s="1">
        <v>3</v>
      </c>
      <c r="E19" s="9" t="s">
        <v>146</v>
      </c>
    </row>
    <row r="20" spans="1:5" ht="29" customHeight="1">
      <c r="A20" s="7">
        <f>ROW()-ROW(I3d1[[#Headers],[ลำดับที่]])</f>
        <v>17</v>
      </c>
      <c r="B20" s="8" t="s">
        <v>173</v>
      </c>
      <c r="C20" s="1" t="s">
        <v>56</v>
      </c>
      <c r="D20" s="1">
        <v>1</v>
      </c>
      <c r="E20" s="9" t="s">
        <v>174</v>
      </c>
    </row>
    <row r="21" spans="1:5" ht="29" customHeight="1">
      <c r="A21" s="7">
        <f>ROW()-ROW(I3d1[[#Headers],[ลำดับที่]])</f>
        <v>18</v>
      </c>
      <c r="B21" s="8" t="s">
        <v>150</v>
      </c>
      <c r="C21" s="1" t="s">
        <v>151</v>
      </c>
      <c r="D21" s="1">
        <v>1</v>
      </c>
      <c r="E21" s="9" t="s">
        <v>152</v>
      </c>
    </row>
    <row r="22" spans="1:5" ht="29" customHeight="1">
      <c r="A22" s="7">
        <f>ROW()-ROW(I3d1[[#Headers],[ลำดับที่]])</f>
        <v>19</v>
      </c>
      <c r="B22" s="8" t="s">
        <v>81</v>
      </c>
      <c r="C22" s="1" t="s">
        <v>82</v>
      </c>
      <c r="D22" s="1">
        <v>1</v>
      </c>
      <c r="E22" s="9" t="s">
        <v>83</v>
      </c>
    </row>
    <row r="23" spans="1:5" ht="29" customHeight="1">
      <c r="A23" s="7">
        <f>ROW()-ROW(I3d1[[#Headers],[ลำดับที่]])</f>
        <v>20</v>
      </c>
      <c r="B23" s="8" t="s">
        <v>165</v>
      </c>
      <c r="C23" s="1" t="s">
        <v>82</v>
      </c>
      <c r="D23" s="1">
        <v>2</v>
      </c>
      <c r="E23" s="12" t="s">
        <v>166</v>
      </c>
    </row>
    <row r="24" spans="1:5" ht="29" customHeight="1">
      <c r="A24" s="7">
        <f>ROW()-ROW(I3d1[[#Headers],[ลำดับที่]])</f>
        <v>21</v>
      </c>
      <c r="B24" s="8" t="s">
        <v>147</v>
      </c>
      <c r="C24" s="1" t="s">
        <v>148</v>
      </c>
      <c r="D24" s="1">
        <v>1</v>
      </c>
      <c r="E24" s="12" t="s">
        <v>149</v>
      </c>
    </row>
    <row r="25" spans="1:5" ht="29" customHeight="1">
      <c r="A25" s="7">
        <f>ROW()-ROW(I3d1[[#Headers],[ลำดับที่]])</f>
        <v>22</v>
      </c>
      <c r="B25" s="8" t="s">
        <v>70</v>
      </c>
      <c r="C25" s="1" t="s">
        <v>71</v>
      </c>
      <c r="D25" s="1">
        <v>1</v>
      </c>
      <c r="E25" s="9" t="s">
        <v>72</v>
      </c>
    </row>
    <row r="26" spans="1:5" ht="29" customHeight="1">
      <c r="A26" s="7">
        <f>ROW()-ROW(I3d1[[#Headers],[ลำดับที่]])</f>
        <v>23</v>
      </c>
      <c r="B26" s="8" t="s">
        <v>156</v>
      </c>
      <c r="C26" s="1" t="s">
        <v>71</v>
      </c>
      <c r="D26" s="1">
        <v>2</v>
      </c>
      <c r="E26" s="9" t="s">
        <v>157</v>
      </c>
    </row>
    <row r="27" spans="1:5" ht="29" customHeight="1">
      <c r="A27" s="7">
        <f>ROW()-ROW(I3d1[[#Headers],[ลำดับที่]])</f>
        <v>24</v>
      </c>
      <c r="B27" s="8" t="s">
        <v>70</v>
      </c>
      <c r="C27" s="1" t="s">
        <v>71</v>
      </c>
      <c r="D27" s="1">
        <v>3</v>
      </c>
      <c r="E27" s="9" t="s">
        <v>167</v>
      </c>
    </row>
    <row r="28" spans="1:5" ht="29" customHeight="1">
      <c r="A28" s="7">
        <f>ROW()-ROW(I3d1[[#Headers],[ลำดับที่]])</f>
        <v>25</v>
      </c>
      <c r="B28" s="8" t="s">
        <v>105</v>
      </c>
      <c r="C28" s="1" t="s">
        <v>106</v>
      </c>
      <c r="D28" s="1">
        <v>1</v>
      </c>
      <c r="E28" s="9" t="s">
        <v>107</v>
      </c>
    </row>
    <row r="29" spans="1:5" ht="29" customHeight="1">
      <c r="A29" s="7">
        <f>ROW()-ROW(I3d1[[#Headers],[ลำดับที่]])</f>
        <v>26</v>
      </c>
      <c r="B29" s="8" t="s">
        <v>126</v>
      </c>
      <c r="C29" s="1" t="s">
        <v>127</v>
      </c>
      <c r="D29" s="1">
        <v>5</v>
      </c>
      <c r="E29" s="9" t="s">
        <v>128</v>
      </c>
    </row>
    <row r="30" spans="1:5" ht="29" customHeight="1">
      <c r="A30" s="7">
        <f>ROW()-ROW(I3d1[[#Headers],[ลำดับที่]])</f>
        <v>27</v>
      </c>
      <c r="B30" s="8" t="s">
        <v>64</v>
      </c>
      <c r="C30" s="1" t="s">
        <v>65</v>
      </c>
      <c r="D30" s="1">
        <v>2</v>
      </c>
      <c r="E30" s="9" t="s">
        <v>66</v>
      </c>
    </row>
    <row r="31" spans="1:5" ht="29" customHeight="1">
      <c r="A31" s="7">
        <f>ROW()-ROW(I3d1[[#Headers],[ลำดับที่]])</f>
        <v>28</v>
      </c>
      <c r="B31" s="8" t="s">
        <v>84</v>
      </c>
      <c r="C31" s="1" t="s">
        <v>65</v>
      </c>
      <c r="D31" s="1">
        <v>1</v>
      </c>
      <c r="E31" s="9" t="s">
        <v>85</v>
      </c>
    </row>
    <row r="32" spans="1:5" ht="29" customHeight="1">
      <c r="A32" s="7">
        <f>ROW()-ROW(I3d1[[#Headers],[ลำดับที่]])</f>
        <v>29</v>
      </c>
      <c r="B32" s="8" t="s">
        <v>120</v>
      </c>
      <c r="C32" s="1" t="s">
        <v>121</v>
      </c>
      <c r="D32" s="1">
        <v>1</v>
      </c>
      <c r="E32" s="9" t="s">
        <v>122</v>
      </c>
    </row>
    <row r="33" spans="1:5" ht="29" customHeight="1">
      <c r="A33" s="7">
        <f>ROW()-ROW(I3d1[[#Headers],[ลำดับที่]])</f>
        <v>30</v>
      </c>
      <c r="B33" s="8" t="s">
        <v>37</v>
      </c>
      <c r="C33" s="1" t="s">
        <v>38</v>
      </c>
      <c r="D33" s="1">
        <v>1</v>
      </c>
      <c r="E33" s="9" t="s">
        <v>39</v>
      </c>
    </row>
    <row r="34" spans="1:5" ht="29" customHeight="1">
      <c r="A34" s="7">
        <f>ROW()-ROW(I3d1[[#Headers],[ลำดับที่]])</f>
        <v>31</v>
      </c>
      <c r="B34" s="8" t="s">
        <v>43</v>
      </c>
      <c r="C34" s="1" t="s">
        <v>38</v>
      </c>
      <c r="D34" s="1">
        <v>2</v>
      </c>
      <c r="E34" s="9" t="s">
        <v>44</v>
      </c>
    </row>
    <row r="35" spans="1:5" ht="29" customHeight="1">
      <c r="A35" s="7">
        <f>ROW()-ROW(I3d1[[#Headers],[ลำดับที่]])</f>
        <v>32</v>
      </c>
      <c r="B35" s="8" t="s">
        <v>45</v>
      </c>
      <c r="C35" s="1" t="s">
        <v>38</v>
      </c>
      <c r="D35" s="1">
        <v>2</v>
      </c>
      <c r="E35" s="9" t="s">
        <v>46</v>
      </c>
    </row>
    <row r="36" spans="1:5" ht="29" customHeight="1">
      <c r="A36" s="7">
        <f>ROW()-ROW(I3d1[[#Headers],[ลำดับที่]])</f>
        <v>33</v>
      </c>
      <c r="B36" s="8" t="s">
        <v>47</v>
      </c>
      <c r="C36" s="1" t="s">
        <v>38</v>
      </c>
      <c r="D36" s="1">
        <v>2</v>
      </c>
      <c r="E36" s="9" t="s">
        <v>48</v>
      </c>
    </row>
    <row r="37" spans="1:5" ht="29" customHeight="1">
      <c r="A37" s="7">
        <f>ROW()-ROW(I3d1[[#Headers],[ลำดับที่]])</f>
        <v>34</v>
      </c>
      <c r="B37" s="8" t="s">
        <v>49</v>
      </c>
      <c r="C37" s="1" t="s">
        <v>38</v>
      </c>
      <c r="D37" s="1">
        <v>2</v>
      </c>
      <c r="E37" s="9" t="s">
        <v>50</v>
      </c>
    </row>
    <row r="38" spans="1:5" ht="29" customHeight="1">
      <c r="A38" s="7">
        <f>ROW()-ROW(I3d1[[#Headers],[ลำดับที่]])</f>
        <v>35</v>
      </c>
      <c r="B38" s="8" t="s">
        <v>51</v>
      </c>
      <c r="C38" s="1" t="s">
        <v>38</v>
      </c>
      <c r="D38" s="1">
        <v>2</v>
      </c>
      <c r="E38" s="9" t="s">
        <v>52</v>
      </c>
    </row>
    <row r="39" spans="1:5" ht="29" customHeight="1">
      <c r="A39" s="7">
        <f>ROW()-ROW(I3d1[[#Headers],[ลำดับที่]])</f>
        <v>36</v>
      </c>
      <c r="B39" s="8" t="s">
        <v>53</v>
      </c>
      <c r="C39" s="1" t="s">
        <v>38</v>
      </c>
      <c r="D39" s="1">
        <v>2</v>
      </c>
      <c r="E39" s="9" t="s">
        <v>54</v>
      </c>
    </row>
    <row r="40" spans="1:5" ht="29" customHeight="1">
      <c r="A40" s="7">
        <f>ROW()-ROW(I3d1[[#Headers],[ลำดับที่]])</f>
        <v>37</v>
      </c>
      <c r="B40" s="8" t="s">
        <v>61</v>
      </c>
      <c r="C40" s="1" t="s">
        <v>62</v>
      </c>
      <c r="D40" s="1">
        <v>2</v>
      </c>
      <c r="E40" s="9" t="s">
        <v>63</v>
      </c>
    </row>
    <row r="41" spans="1:5" ht="29" customHeight="1">
      <c r="A41" s="7">
        <f>ROW()-ROW(I3d1[[#Headers],[ลำดับที่]])</f>
        <v>38</v>
      </c>
      <c r="B41" s="8" t="s">
        <v>140</v>
      </c>
      <c r="C41" s="1" t="s">
        <v>62</v>
      </c>
      <c r="D41" s="1">
        <v>1</v>
      </c>
      <c r="E41" s="9" t="s">
        <v>141</v>
      </c>
    </row>
    <row r="42" spans="1:5" ht="29" customHeight="1">
      <c r="A42" s="7">
        <f>ROW()-ROW(I3d1[[#Headers],[ลำดับที่]])</f>
        <v>39</v>
      </c>
      <c r="B42" s="8" t="s">
        <v>169</v>
      </c>
      <c r="C42" s="1" t="s">
        <v>62</v>
      </c>
      <c r="D42" s="1">
        <v>2</v>
      </c>
      <c r="E42" s="9" t="s">
        <v>170</v>
      </c>
    </row>
    <row r="43" spans="1:5" ht="29" customHeight="1">
      <c r="A43" s="7">
        <f>ROW()-ROW(I3d1[[#Headers],[ลำดับที่]])</f>
        <v>40</v>
      </c>
      <c r="B43" s="8" t="s">
        <v>123</v>
      </c>
      <c r="C43" s="1" t="s">
        <v>124</v>
      </c>
      <c r="D43" s="1">
        <v>2</v>
      </c>
      <c r="E43" s="9" t="s">
        <v>125</v>
      </c>
    </row>
    <row r="44" spans="1:5" ht="29" customHeight="1">
      <c r="A44" s="7">
        <f>ROW()-ROW(I3d1[[#Headers],[ลำดับที่]])</f>
        <v>41</v>
      </c>
      <c r="B44" s="8" t="s">
        <v>78</v>
      </c>
      <c r="C44" s="1" t="s">
        <v>79</v>
      </c>
      <c r="D44" s="1">
        <v>1</v>
      </c>
      <c r="E44" s="9" t="s">
        <v>80</v>
      </c>
    </row>
    <row r="45" spans="1:5" ht="29" customHeight="1">
      <c r="A45" s="7">
        <f>ROW()-ROW(I3d1[[#Headers],[ลำดับที่]])</f>
        <v>42</v>
      </c>
      <c r="B45" s="8" t="s">
        <v>86</v>
      </c>
      <c r="C45" s="1" t="s">
        <v>79</v>
      </c>
      <c r="D45" s="1">
        <v>1</v>
      </c>
      <c r="E45" s="9" t="s">
        <v>87</v>
      </c>
    </row>
    <row r="46" spans="1:5" ht="29" customHeight="1">
      <c r="A46" s="7">
        <f>ROW()-ROW(I3d1[[#Headers],[ลำดับที่]])</f>
        <v>43</v>
      </c>
      <c r="B46" s="8" t="s">
        <v>58</v>
      </c>
      <c r="C46" s="1" t="s">
        <v>59</v>
      </c>
      <c r="D46" s="1">
        <v>2</v>
      </c>
      <c r="E46" s="9" t="s">
        <v>60</v>
      </c>
    </row>
    <row r="47" spans="1:5" ht="29" customHeight="1">
      <c r="A47" s="7">
        <f>ROW()-ROW(I3d1[[#Headers],[ลำดับที่]])</f>
        <v>44</v>
      </c>
      <c r="B47" s="8" t="s">
        <v>171</v>
      </c>
      <c r="C47" s="1" t="s">
        <v>59</v>
      </c>
      <c r="D47" s="1">
        <v>1</v>
      </c>
      <c r="E47" s="9" t="s">
        <v>172</v>
      </c>
    </row>
    <row r="48" spans="1:5" ht="29" customHeight="1">
      <c r="A48" s="7">
        <f>ROW()-ROW(I3d1[[#Headers],[ลำดับที่]])</f>
        <v>45</v>
      </c>
      <c r="B48" s="8" t="s">
        <v>100</v>
      </c>
      <c r="C48" s="1" t="s">
        <v>101</v>
      </c>
      <c r="D48" s="1">
        <v>2</v>
      </c>
      <c r="E48" s="9" t="s">
        <v>102</v>
      </c>
    </row>
    <row r="49" spans="1:5" ht="29" customHeight="1">
      <c r="A49" s="7">
        <f>ROW()-ROW(I3d1[[#Headers],[ลำดับที่]])</f>
        <v>46</v>
      </c>
      <c r="B49" s="8" t="s">
        <v>108</v>
      </c>
      <c r="C49" s="1" t="s">
        <v>101</v>
      </c>
      <c r="D49" s="1">
        <v>4</v>
      </c>
      <c r="E49" s="9" t="s">
        <v>109</v>
      </c>
    </row>
    <row r="50" spans="1:5" ht="33" customHeight="1">
      <c r="A50" s="7">
        <f>ROW()-ROW(I3d1[[#Headers],[ลำดับที่]])</f>
        <v>47</v>
      </c>
      <c r="B50" s="8" t="s">
        <v>134</v>
      </c>
      <c r="C50" s="1" t="s">
        <v>135</v>
      </c>
      <c r="D50" s="1">
        <v>1</v>
      </c>
      <c r="E50" s="9" t="s">
        <v>136</v>
      </c>
    </row>
    <row r="51" spans="1:5" ht="33" customHeight="1">
      <c r="A51" s="7">
        <f>ROW()-ROW(I3d1[[#Headers],[ลำดับที่]])</f>
        <v>48</v>
      </c>
      <c r="B51" s="8" t="s">
        <v>88</v>
      </c>
      <c r="C51" s="1" t="s">
        <v>89</v>
      </c>
      <c r="D51" s="1">
        <v>1</v>
      </c>
      <c r="E51" s="9" t="s">
        <v>90</v>
      </c>
    </row>
    <row r="52" spans="1:5" ht="33" customHeight="1">
      <c r="A52" s="7">
        <f>ROW()-ROW(I3d1[[#Headers],[ลำดับที่]])</f>
        <v>49</v>
      </c>
      <c r="B52" s="8" t="s">
        <v>129</v>
      </c>
      <c r="C52" s="1" t="s">
        <v>130</v>
      </c>
      <c r="D52" s="1">
        <v>2</v>
      </c>
      <c r="E52" s="9" t="s">
        <v>131</v>
      </c>
    </row>
    <row r="53" spans="1:5" ht="33" customHeight="1">
      <c r="A53" s="7">
        <f>ROW()-ROW(I3d1[[#Headers],[ลำดับที่]])</f>
        <v>50</v>
      </c>
      <c r="B53" s="8" t="s">
        <v>75</v>
      </c>
      <c r="C53" s="1" t="s">
        <v>76</v>
      </c>
      <c r="D53" s="1">
        <v>1</v>
      </c>
      <c r="E53" s="9" t="s">
        <v>77</v>
      </c>
    </row>
    <row r="54" spans="1:5" ht="33" customHeight="1">
      <c r="A54" s="7">
        <f>ROW()-ROW(I3d1[[#Headers],[ลำดับที่]])</f>
        <v>51</v>
      </c>
      <c r="B54" s="8" t="s">
        <v>113</v>
      </c>
      <c r="C54" s="1" t="s">
        <v>76</v>
      </c>
      <c r="D54" s="1">
        <v>1</v>
      </c>
      <c r="E54" s="9" t="s">
        <v>114</v>
      </c>
    </row>
    <row r="55" spans="1:5" ht="33" customHeight="1">
      <c r="A55" s="7">
        <f>ROW()-ROW(I3d1[[#Headers],[ลำดับที่]])</f>
        <v>52</v>
      </c>
      <c r="B55" s="8" t="s">
        <v>161</v>
      </c>
      <c r="C55" s="1" t="s">
        <v>76</v>
      </c>
      <c r="D55" s="1">
        <v>1</v>
      </c>
      <c r="E55" s="12" t="s">
        <v>162</v>
      </c>
    </row>
    <row r="56" spans="1:5" ht="33" customHeight="1">
      <c r="A56" s="7">
        <f>ROW()-ROW(I3d1[[#Headers],[ลำดับที่]])</f>
        <v>53</v>
      </c>
      <c r="B56" s="8" t="s">
        <v>163</v>
      </c>
      <c r="C56" s="1" t="s">
        <v>76</v>
      </c>
      <c r="D56" s="1">
        <v>1</v>
      </c>
      <c r="E56" s="9" t="s">
        <v>164</v>
      </c>
    </row>
    <row r="57" spans="1:5" ht="33" customHeight="1">
      <c r="A57" s="7">
        <f>ROW()-ROW(I3d1[[#Headers],[ลำดับที่]])</f>
        <v>54</v>
      </c>
      <c r="B57" s="8" t="s">
        <v>158</v>
      </c>
      <c r="C57" s="1" t="s">
        <v>159</v>
      </c>
      <c r="D57" s="1">
        <v>1</v>
      </c>
      <c r="E57" s="9" t="s">
        <v>160</v>
      </c>
    </row>
    <row r="58" spans="1:5" ht="33" customHeight="1">
      <c r="A58" s="7">
        <f>ROW()-ROW(I3d1[[#Headers],[ลำดับที่]])</f>
        <v>55</v>
      </c>
      <c r="B58" s="8" t="s">
        <v>94</v>
      </c>
      <c r="C58" s="1" t="s">
        <v>95</v>
      </c>
      <c r="D58" s="1">
        <v>8</v>
      </c>
      <c r="E58" s="9" t="s">
        <v>96</v>
      </c>
    </row>
    <row r="59" spans="1:5" ht="33" customHeight="1">
      <c r="A59" s="7">
        <f>ROW()-ROW(I3d1[[#Headers],[ลำดับที่]])</f>
        <v>56</v>
      </c>
      <c r="B59" s="8" t="s">
        <v>137</v>
      </c>
      <c r="C59" s="1" t="s">
        <v>138</v>
      </c>
      <c r="D59" s="1">
        <v>2</v>
      </c>
      <c r="E59" s="9" t="s">
        <v>139</v>
      </c>
    </row>
    <row r="60" spans="1:5" ht="33" customHeight="1">
      <c r="A60" s="7">
        <f>ROW()-ROW(I3d1[[#Headers],[ลำดับที่]])</f>
        <v>57</v>
      </c>
      <c r="B60" s="8" t="s">
        <v>137</v>
      </c>
      <c r="C60" s="1" t="s">
        <v>138</v>
      </c>
      <c r="D60" s="1">
        <v>3</v>
      </c>
      <c r="E60" s="9" t="s">
        <v>168</v>
      </c>
    </row>
    <row r="61" spans="1:5" ht="33" customHeight="1">
      <c r="A61" s="7">
        <f>ROW()-ROW(I3d1[[#Headers],[ลำดับที่]])</f>
        <v>58</v>
      </c>
      <c r="B61" s="8" t="s">
        <v>110</v>
      </c>
      <c r="C61" s="1" t="s">
        <v>111</v>
      </c>
      <c r="D61" s="1">
        <v>1</v>
      </c>
      <c r="E61" s="9" t="s">
        <v>112</v>
      </c>
    </row>
    <row r="62" spans="1:5" ht="33" customHeight="1">
      <c r="A62" s="7">
        <f>ROW()-ROW(I3d1[[#Headers],[ลำดับที่]])</f>
        <v>59</v>
      </c>
      <c r="B62" s="8" t="s">
        <v>132</v>
      </c>
      <c r="C62" s="1" t="s">
        <v>111</v>
      </c>
      <c r="D62" s="1">
        <v>1</v>
      </c>
      <c r="E62" s="9" t="s">
        <v>133</v>
      </c>
    </row>
    <row r="63" spans="1:5" ht="24">
      <c r="C63" s="10" t="s">
        <v>8</v>
      </c>
      <c r="D63" s="13">
        <f>SUM(D4:D62)</f>
        <v>104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topLeftCell="A3" workbookViewId="0">
      <selection activeCell="B31" sqref="B31:E31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6.6640625" bestFit="1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9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ROW()-ROW(I3d2[[#Headers],[ลำดับที่]])</f>
        <v>1</v>
      </c>
      <c r="B4" s="8" t="s">
        <v>244</v>
      </c>
      <c r="C4" s="1" t="s">
        <v>68</v>
      </c>
      <c r="D4" s="1">
        <v>3</v>
      </c>
      <c r="E4" s="9" t="s">
        <v>245</v>
      </c>
    </row>
    <row r="5" spans="1:5" ht="29" customHeight="1">
      <c r="A5" s="7">
        <f>ROW()-ROW(I3d2[[#Headers],[ลำดับที่]])</f>
        <v>2</v>
      </c>
      <c r="B5" s="8" t="s">
        <v>267</v>
      </c>
      <c r="C5" s="1" t="s">
        <v>68</v>
      </c>
      <c r="D5" s="1">
        <v>2</v>
      </c>
      <c r="E5" s="9" t="s">
        <v>268</v>
      </c>
    </row>
    <row r="6" spans="1:5" ht="29" customHeight="1">
      <c r="A6" s="7">
        <f>ROW()-ROW(I3d2[[#Headers],[ลำดับที่]])</f>
        <v>3</v>
      </c>
      <c r="B6" s="8" t="s">
        <v>235</v>
      </c>
      <c r="C6" s="1" t="s">
        <v>236</v>
      </c>
      <c r="D6" s="1">
        <v>1</v>
      </c>
      <c r="E6" s="9" t="s">
        <v>237</v>
      </c>
    </row>
    <row r="7" spans="1:5" ht="29" customHeight="1">
      <c r="A7" s="7">
        <f>ROW()-ROW(I3d2[[#Headers],[ลำดับที่]])</f>
        <v>4</v>
      </c>
      <c r="B7" s="8" t="s">
        <v>240</v>
      </c>
      <c r="C7" s="1" t="s">
        <v>236</v>
      </c>
      <c r="D7" s="1">
        <v>2</v>
      </c>
      <c r="E7" s="9" t="s">
        <v>241</v>
      </c>
    </row>
    <row r="8" spans="1:5" ht="29" customHeight="1">
      <c r="A8" s="7">
        <f>ROW()-ROW(I3d2[[#Headers],[ลำดับที่]])</f>
        <v>5</v>
      </c>
      <c r="B8" s="8" t="s">
        <v>289</v>
      </c>
      <c r="C8" s="1" t="s">
        <v>236</v>
      </c>
      <c r="D8" s="1">
        <v>1</v>
      </c>
      <c r="E8" s="9" t="s">
        <v>290</v>
      </c>
    </row>
    <row r="9" spans="1:5" ht="29" customHeight="1">
      <c r="A9" s="7">
        <f>ROW()-ROW(I3d2[[#Headers],[ลำดับที่]])</f>
        <v>6</v>
      </c>
      <c r="B9" s="8" t="s">
        <v>273</v>
      </c>
      <c r="C9" s="1" t="s">
        <v>118</v>
      </c>
      <c r="D9" s="1">
        <v>2</v>
      </c>
      <c r="E9" s="9" t="s">
        <v>274</v>
      </c>
    </row>
    <row r="10" spans="1:5" ht="29" customHeight="1">
      <c r="A10" s="7">
        <f>ROW()-ROW(I3d2[[#Headers],[ลำดับที่]])</f>
        <v>7</v>
      </c>
      <c r="B10" s="8" t="s">
        <v>302</v>
      </c>
      <c r="C10" s="1" t="s">
        <v>118</v>
      </c>
      <c r="D10" s="1">
        <v>1</v>
      </c>
      <c r="E10" s="9" t="s">
        <v>303</v>
      </c>
    </row>
    <row r="11" spans="1:5" ht="29" customHeight="1">
      <c r="A11" s="7">
        <f>ROW()-ROW(I3d2[[#Headers],[ลำดับที่]])</f>
        <v>8</v>
      </c>
      <c r="B11" s="8" t="s">
        <v>182</v>
      </c>
      <c r="C11" s="1" t="s">
        <v>56</v>
      </c>
      <c r="D11" s="1">
        <v>1</v>
      </c>
      <c r="E11" s="9" t="s">
        <v>183</v>
      </c>
    </row>
    <row r="12" spans="1:5" ht="29" customHeight="1">
      <c r="A12" s="7">
        <f>ROW()-ROW(I3d2[[#Headers],[ลำดับที่]])</f>
        <v>9</v>
      </c>
      <c r="B12" s="8" t="s">
        <v>184</v>
      </c>
      <c r="C12" s="1" t="s">
        <v>56</v>
      </c>
      <c r="D12" s="1">
        <v>1</v>
      </c>
      <c r="E12" s="9" t="s">
        <v>185</v>
      </c>
    </row>
    <row r="13" spans="1:5" ht="29" customHeight="1">
      <c r="A13" s="7">
        <f>ROW()-ROW(I3d2[[#Headers],[ลำดับที่]])</f>
        <v>10</v>
      </c>
      <c r="B13" s="8" t="s">
        <v>190</v>
      </c>
      <c r="C13" s="1" t="s">
        <v>56</v>
      </c>
      <c r="D13" s="1">
        <v>1</v>
      </c>
      <c r="E13" s="9" t="s">
        <v>191</v>
      </c>
    </row>
    <row r="14" spans="1:5" ht="29" customHeight="1">
      <c r="A14" s="7">
        <f>ROW()-ROW(I3d2[[#Headers],[ลำดับที่]])</f>
        <v>11</v>
      </c>
      <c r="B14" s="8" t="s">
        <v>196</v>
      </c>
      <c r="C14" s="1" t="s">
        <v>56</v>
      </c>
      <c r="D14" s="1">
        <v>1</v>
      </c>
      <c r="E14" s="9" t="s">
        <v>197</v>
      </c>
    </row>
    <row r="15" spans="1:5" ht="29" customHeight="1">
      <c r="A15" s="7">
        <f>ROW()-ROW(I3d2[[#Headers],[ลำดับที่]])</f>
        <v>12</v>
      </c>
      <c r="B15" s="8" t="s">
        <v>55</v>
      </c>
      <c r="C15" s="1" t="s">
        <v>56</v>
      </c>
      <c r="D15" s="1">
        <v>1</v>
      </c>
      <c r="E15" s="9" t="s">
        <v>208</v>
      </c>
    </row>
    <row r="16" spans="1:5" ht="29" customHeight="1">
      <c r="A16" s="7">
        <f>ROW()-ROW(I3d2[[#Headers],[ลำดับที่]])</f>
        <v>13</v>
      </c>
      <c r="B16" s="8" t="s">
        <v>223</v>
      </c>
      <c r="C16" s="1" t="s">
        <v>56</v>
      </c>
      <c r="D16" s="1">
        <v>14</v>
      </c>
      <c r="E16" s="9" t="s">
        <v>224</v>
      </c>
    </row>
    <row r="17" spans="1:5" ht="29" customHeight="1">
      <c r="A17" s="7">
        <f>ROW()-ROW(I3d2[[#Headers],[ลำดับที่]])</f>
        <v>14</v>
      </c>
      <c r="B17" s="8" t="s">
        <v>260</v>
      </c>
      <c r="C17" s="1" t="s">
        <v>56</v>
      </c>
      <c r="D17" s="1">
        <v>2</v>
      </c>
      <c r="E17" s="9" t="s">
        <v>261</v>
      </c>
    </row>
    <row r="18" spans="1:5" ht="29" customHeight="1">
      <c r="A18" s="7">
        <f>ROW()-ROW(I3d2[[#Headers],[ลำดับที่]])</f>
        <v>15</v>
      </c>
      <c r="B18" s="8" t="s">
        <v>275</v>
      </c>
      <c r="C18" s="1" t="s">
        <v>56</v>
      </c>
      <c r="D18" s="1">
        <v>1</v>
      </c>
      <c r="E18" s="9" t="s">
        <v>276</v>
      </c>
    </row>
    <row r="19" spans="1:5" ht="29" customHeight="1">
      <c r="A19" s="7">
        <f>ROW()-ROW(I3d2[[#Headers],[ลำดับที่]])</f>
        <v>16</v>
      </c>
      <c r="B19" s="8" t="s">
        <v>291</v>
      </c>
      <c r="C19" s="1" t="s">
        <v>151</v>
      </c>
      <c r="D19" s="1">
        <v>1</v>
      </c>
      <c r="E19" s="9" t="s">
        <v>292</v>
      </c>
    </row>
    <row r="20" spans="1:5" ht="29" customHeight="1">
      <c r="A20" s="7">
        <f>ROW()-ROW(I3d2[[#Headers],[ลำดับที่]])</f>
        <v>17</v>
      </c>
      <c r="B20" s="8" t="s">
        <v>277</v>
      </c>
      <c r="C20" s="1" t="s">
        <v>82</v>
      </c>
      <c r="D20" s="1">
        <v>1</v>
      </c>
      <c r="E20" s="9" t="s">
        <v>278</v>
      </c>
    </row>
    <row r="21" spans="1:5" ht="29" customHeight="1">
      <c r="A21" s="7">
        <f>ROW()-ROW(I3d2[[#Headers],[ลำดับที่]])</f>
        <v>18</v>
      </c>
      <c r="B21" s="8" t="s">
        <v>284</v>
      </c>
      <c r="C21" s="1" t="s">
        <v>82</v>
      </c>
      <c r="D21" s="1">
        <v>1</v>
      </c>
      <c r="E21" s="12" t="s">
        <v>285</v>
      </c>
    </row>
    <row r="22" spans="1:5" ht="29" customHeight="1">
      <c r="A22" s="7">
        <f>ROW()-ROW(I3d2[[#Headers],[ลำดับที่]])</f>
        <v>19</v>
      </c>
      <c r="B22" s="8" t="s">
        <v>180</v>
      </c>
      <c r="C22" s="1" t="s">
        <v>148</v>
      </c>
      <c r="D22" s="1">
        <v>1</v>
      </c>
      <c r="E22" s="9" t="s">
        <v>181</v>
      </c>
    </row>
    <row r="23" spans="1:5" ht="29" customHeight="1">
      <c r="A23" s="7">
        <f>ROW()-ROW(I3d2[[#Headers],[ลำดับที่]])</f>
        <v>20</v>
      </c>
      <c r="B23" s="8" t="s">
        <v>188</v>
      </c>
      <c r="C23" s="1" t="s">
        <v>148</v>
      </c>
      <c r="D23" s="1">
        <v>1</v>
      </c>
      <c r="E23" s="9" t="s">
        <v>189</v>
      </c>
    </row>
    <row r="24" spans="1:5" ht="29" customHeight="1">
      <c r="A24" s="7">
        <f>ROW()-ROW(I3d2[[#Headers],[ลำดับที่]])</f>
        <v>21</v>
      </c>
      <c r="B24" s="8" t="s">
        <v>194</v>
      </c>
      <c r="C24" s="1" t="s">
        <v>148</v>
      </c>
      <c r="D24" s="1">
        <v>3</v>
      </c>
      <c r="E24" s="9" t="s">
        <v>195</v>
      </c>
    </row>
    <row r="25" spans="1:5" ht="29" customHeight="1">
      <c r="A25" s="7">
        <f>ROW()-ROW(I3d2[[#Headers],[ลำดับที่]])</f>
        <v>22</v>
      </c>
      <c r="B25" s="8" t="s">
        <v>180</v>
      </c>
      <c r="C25" s="1" t="s">
        <v>148</v>
      </c>
      <c r="D25" s="1">
        <v>1</v>
      </c>
      <c r="E25" s="9" t="s">
        <v>207</v>
      </c>
    </row>
    <row r="26" spans="1:5" ht="29" customHeight="1">
      <c r="A26" s="7">
        <f>ROW()-ROW(I3d2[[#Headers],[ลำดับที่]])</f>
        <v>23</v>
      </c>
      <c r="B26" s="8" t="s">
        <v>230</v>
      </c>
      <c r="C26" s="1" t="s">
        <v>148</v>
      </c>
      <c r="D26" s="1">
        <v>1</v>
      </c>
      <c r="E26" s="9" t="s">
        <v>231</v>
      </c>
    </row>
    <row r="27" spans="1:5" ht="29" customHeight="1">
      <c r="A27" s="7">
        <f>ROW()-ROW(I3d2[[#Headers],[ลำดับที่]])</f>
        <v>24</v>
      </c>
      <c r="B27" s="8" t="s">
        <v>209</v>
      </c>
      <c r="C27" s="1" t="s">
        <v>71</v>
      </c>
      <c r="D27" s="1">
        <v>1</v>
      </c>
      <c r="E27" s="9" t="s">
        <v>210</v>
      </c>
    </row>
    <row r="28" spans="1:5" ht="29" customHeight="1">
      <c r="A28" s="7">
        <f>ROW()-ROW(I3d2[[#Headers],[ลำดับที่]])</f>
        <v>25</v>
      </c>
      <c r="B28" s="8" t="s">
        <v>228</v>
      </c>
      <c r="C28" s="1" t="s">
        <v>71</v>
      </c>
      <c r="D28" s="1">
        <v>1</v>
      </c>
      <c r="E28" s="9" t="s">
        <v>229</v>
      </c>
    </row>
    <row r="29" spans="1:5" ht="29" customHeight="1">
      <c r="A29" s="7">
        <f>ROW()-ROW(I3d2[[#Headers],[ลำดับที่]])</f>
        <v>26</v>
      </c>
      <c r="B29" s="8" t="s">
        <v>262</v>
      </c>
      <c r="C29" s="1" t="s">
        <v>263</v>
      </c>
      <c r="D29" s="1">
        <v>5</v>
      </c>
      <c r="E29" s="9" t="s">
        <v>264</v>
      </c>
    </row>
    <row r="30" spans="1:5" ht="29" customHeight="1">
      <c r="A30" s="7">
        <f>ROW()-ROW(I3d2[[#Headers],[ลำดับที่]])</f>
        <v>27</v>
      </c>
      <c r="B30" s="8" t="s">
        <v>200</v>
      </c>
      <c r="C30" s="1" t="s">
        <v>201</v>
      </c>
      <c r="D30" s="1">
        <v>1</v>
      </c>
      <c r="E30" s="9" t="s">
        <v>202</v>
      </c>
    </row>
    <row r="31" spans="1:5" ht="29" customHeight="1">
      <c r="A31" s="7">
        <f>ROW()-ROW(I3d2[[#Headers],[ลำดับที่]])</f>
        <v>28</v>
      </c>
      <c r="B31" s="8" t="s">
        <v>265</v>
      </c>
      <c r="C31" s="1" t="s">
        <v>201</v>
      </c>
      <c r="D31" s="1">
        <v>3</v>
      </c>
      <c r="E31" s="9" t="s">
        <v>266</v>
      </c>
    </row>
    <row r="32" spans="1:5" ht="29" customHeight="1">
      <c r="A32" s="7">
        <f>ROW()-ROW(I3d2[[#Headers],[ลำดับที่]])</f>
        <v>29</v>
      </c>
      <c r="B32" s="8" t="s">
        <v>218</v>
      </c>
      <c r="C32" s="1" t="s">
        <v>219</v>
      </c>
      <c r="D32" s="1">
        <v>1</v>
      </c>
      <c r="E32" s="9" t="s">
        <v>220</v>
      </c>
    </row>
    <row r="33" spans="1:5" ht="29" customHeight="1">
      <c r="A33" s="7">
        <f>ROW()-ROW(I3d2[[#Headers],[ลำดับที่]])</f>
        <v>30</v>
      </c>
      <c r="B33" s="8" t="s">
        <v>221</v>
      </c>
      <c r="C33" s="1" t="s">
        <v>219</v>
      </c>
      <c r="D33" s="1">
        <v>1</v>
      </c>
      <c r="E33" s="9" t="s">
        <v>222</v>
      </c>
    </row>
    <row r="34" spans="1:5" ht="29" customHeight="1">
      <c r="A34" s="7">
        <f>ROW()-ROW(I3d2[[#Headers],[ลำดับที่]])</f>
        <v>31</v>
      </c>
      <c r="B34" s="8" t="s">
        <v>251</v>
      </c>
      <c r="C34" s="1" t="s">
        <v>252</v>
      </c>
      <c r="D34" s="1">
        <v>8</v>
      </c>
      <c r="E34" s="9" t="s">
        <v>253</v>
      </c>
    </row>
    <row r="35" spans="1:5" ht="29" customHeight="1">
      <c r="A35" s="7">
        <f>ROW()-ROW(I3d2[[#Headers],[ลำดับที่]])</f>
        <v>32</v>
      </c>
      <c r="B35" s="8" t="s">
        <v>299</v>
      </c>
      <c r="C35" s="1" t="s">
        <v>252</v>
      </c>
      <c r="D35" s="1">
        <v>2</v>
      </c>
      <c r="E35" s="9" t="s">
        <v>300</v>
      </c>
    </row>
    <row r="36" spans="1:5" ht="29" customHeight="1">
      <c r="A36" s="7">
        <f>ROW()-ROW(I3d2[[#Headers],[ลำดับที่]])</f>
        <v>33</v>
      </c>
      <c r="B36" s="8" t="s">
        <v>177</v>
      </c>
      <c r="C36" s="1" t="s">
        <v>178</v>
      </c>
      <c r="D36" s="1">
        <v>1</v>
      </c>
      <c r="E36" s="9" t="s">
        <v>179</v>
      </c>
    </row>
    <row r="37" spans="1:5" ht="29" customHeight="1">
      <c r="A37" s="7">
        <f>ROW()-ROW(I3d2[[#Headers],[ลำดับที่]])</f>
        <v>34</v>
      </c>
      <c r="B37" s="8" t="s">
        <v>293</v>
      </c>
      <c r="C37" s="1" t="s">
        <v>178</v>
      </c>
      <c r="D37" s="1">
        <v>1</v>
      </c>
      <c r="E37" s="12" t="s">
        <v>294</v>
      </c>
    </row>
    <row r="38" spans="1:5" ht="29" customHeight="1">
      <c r="A38" s="7">
        <f>ROW()-ROW(I3d2[[#Headers],[ลำดับที่]])</f>
        <v>35</v>
      </c>
      <c r="B38" s="8" t="s">
        <v>186</v>
      </c>
      <c r="C38" s="1" t="s">
        <v>121</v>
      </c>
      <c r="D38" s="1">
        <v>1</v>
      </c>
      <c r="E38" s="9" t="s">
        <v>187</v>
      </c>
    </row>
    <row r="39" spans="1:5" ht="29" customHeight="1">
      <c r="A39" s="7">
        <f>ROW()-ROW(I3d2[[#Headers],[ลำดับที่]])</f>
        <v>36</v>
      </c>
      <c r="B39" s="8" t="s">
        <v>211</v>
      </c>
      <c r="C39" s="1" t="s">
        <v>62</v>
      </c>
      <c r="D39" s="1">
        <v>17</v>
      </c>
      <c r="E39" s="9" t="s">
        <v>212</v>
      </c>
    </row>
    <row r="40" spans="1:5" ht="29" customHeight="1">
      <c r="A40" s="7">
        <f>ROW()-ROW(I3d2[[#Headers],[ลำดับที่]])</f>
        <v>37</v>
      </c>
      <c r="B40" s="8" t="s">
        <v>215</v>
      </c>
      <c r="C40" s="1" t="s">
        <v>216</v>
      </c>
      <c r="D40" s="1">
        <v>2</v>
      </c>
      <c r="E40" s="9" t="s">
        <v>217</v>
      </c>
    </row>
    <row r="41" spans="1:5" ht="29" customHeight="1">
      <c r="A41" s="7">
        <f>ROW()-ROW(I3d2[[#Headers],[ลำดับที่]])</f>
        <v>38</v>
      </c>
      <c r="B41" s="8" t="s">
        <v>286</v>
      </c>
      <c r="C41" s="1" t="s">
        <v>287</v>
      </c>
      <c r="D41" s="1">
        <v>1</v>
      </c>
      <c r="E41" s="9" t="s">
        <v>288</v>
      </c>
    </row>
    <row r="42" spans="1:5" ht="29" customHeight="1">
      <c r="A42" s="7">
        <f>ROW()-ROW(I3d2[[#Headers],[ลำดับที่]])</f>
        <v>39</v>
      </c>
      <c r="B42" s="8" t="s">
        <v>297</v>
      </c>
      <c r="C42" s="1" t="s">
        <v>59</v>
      </c>
      <c r="D42" s="1">
        <v>1</v>
      </c>
      <c r="E42" s="9" t="s">
        <v>298</v>
      </c>
    </row>
    <row r="43" spans="1:5" ht="29" customHeight="1">
      <c r="A43" s="7">
        <f>ROW()-ROW(I3d2[[#Headers],[ลำดับที่]])</f>
        <v>40</v>
      </c>
      <c r="B43" s="8" t="s">
        <v>281</v>
      </c>
      <c r="C43" s="1" t="s">
        <v>282</v>
      </c>
      <c r="D43" s="1">
        <v>1</v>
      </c>
      <c r="E43" s="9" t="s">
        <v>283</v>
      </c>
    </row>
    <row r="44" spans="1:5" ht="29" customHeight="1">
      <c r="A44" s="7">
        <f>ROW()-ROW(I3d2[[#Headers],[ลำดับที่]])</f>
        <v>41</v>
      </c>
      <c r="B44" s="8" t="s">
        <v>205</v>
      </c>
      <c r="C44" s="1" t="s">
        <v>101</v>
      </c>
      <c r="D44" s="1">
        <v>1</v>
      </c>
      <c r="E44" s="9" t="s">
        <v>206</v>
      </c>
    </row>
    <row r="45" spans="1:5" ht="29" customHeight="1">
      <c r="A45" s="7">
        <f>ROW()-ROW(I3d2[[#Headers],[ลำดับที่]])</f>
        <v>42</v>
      </c>
      <c r="B45" s="8" t="s">
        <v>175</v>
      </c>
      <c r="C45" s="1" t="s">
        <v>89</v>
      </c>
      <c r="D45" s="1">
        <v>1</v>
      </c>
      <c r="E45" s="9" t="s">
        <v>176</v>
      </c>
    </row>
    <row r="46" spans="1:5" ht="29" customHeight="1">
      <c r="A46" s="7">
        <f>ROW()-ROW(I3d2[[#Headers],[ลำดับที่]])</f>
        <v>43</v>
      </c>
      <c r="B46" s="8" t="s">
        <v>88</v>
      </c>
      <c r="C46" s="1" t="s">
        <v>89</v>
      </c>
      <c r="D46" s="1">
        <v>1</v>
      </c>
      <c r="E46" s="9" t="s">
        <v>234</v>
      </c>
    </row>
    <row r="47" spans="1:5" ht="29" customHeight="1">
      <c r="A47" s="7">
        <f>ROW()-ROW(I3d2[[#Headers],[ลำดับที่]])</f>
        <v>44</v>
      </c>
      <c r="B47" s="8" t="s">
        <v>269</v>
      </c>
      <c r="C47" s="1" t="s">
        <v>89</v>
      </c>
      <c r="D47" s="1">
        <v>2</v>
      </c>
      <c r="E47" s="9" t="s">
        <v>270</v>
      </c>
    </row>
    <row r="48" spans="1:5" ht="29" customHeight="1">
      <c r="A48" s="7">
        <f>ROW()-ROW(I3d2[[#Headers],[ลำดับที่]])</f>
        <v>45</v>
      </c>
      <c r="B48" s="8" t="s">
        <v>238</v>
      </c>
      <c r="C48" s="1" t="s">
        <v>159</v>
      </c>
      <c r="D48" s="1">
        <v>1</v>
      </c>
      <c r="E48" s="9" t="s">
        <v>239</v>
      </c>
    </row>
    <row r="49" spans="1:5" ht="29" customHeight="1">
      <c r="A49" s="7">
        <f>ROW()-ROW(I3d2[[#Headers],[ลำดับที่]])</f>
        <v>46</v>
      </c>
      <c r="B49" s="8" t="s">
        <v>242</v>
      </c>
      <c r="C49" s="1" t="s">
        <v>159</v>
      </c>
      <c r="D49" s="1">
        <v>2</v>
      </c>
      <c r="E49" s="9" t="s">
        <v>243</v>
      </c>
    </row>
    <row r="50" spans="1:5" ht="31" customHeight="1">
      <c r="A50" s="7">
        <f>ROW()-ROW(I3d2[[#Headers],[ลำดับที่]])</f>
        <v>47</v>
      </c>
      <c r="B50" s="8" t="s">
        <v>254</v>
      </c>
      <c r="C50" s="1" t="s">
        <v>159</v>
      </c>
      <c r="D50" s="1">
        <v>1</v>
      </c>
      <c r="E50" s="9" t="s">
        <v>255</v>
      </c>
    </row>
    <row r="51" spans="1:5" ht="31" customHeight="1">
      <c r="A51" s="7">
        <f>ROW()-ROW(I3d2[[#Headers],[ลำดับที่]])</f>
        <v>48</v>
      </c>
      <c r="B51" s="8" t="s">
        <v>256</v>
      </c>
      <c r="C51" s="1" t="s">
        <v>159</v>
      </c>
      <c r="D51" s="1">
        <v>6</v>
      </c>
      <c r="E51" s="9" t="s">
        <v>257</v>
      </c>
    </row>
    <row r="52" spans="1:5" ht="31" customHeight="1">
      <c r="A52" s="7">
        <f>ROW()-ROW(I3d2[[#Headers],[ลำดับที่]])</f>
        <v>49</v>
      </c>
      <c r="B52" s="8" t="s">
        <v>301</v>
      </c>
      <c r="C52" s="1" t="s">
        <v>295</v>
      </c>
      <c r="D52" s="1">
        <v>1</v>
      </c>
      <c r="E52" s="9" t="s">
        <v>296</v>
      </c>
    </row>
    <row r="53" spans="1:5" ht="31" customHeight="1">
      <c r="A53" s="7">
        <f>ROW()-ROW(I3d2[[#Headers],[ลำดับที่]])</f>
        <v>50</v>
      </c>
      <c r="B53" s="8" t="s">
        <v>246</v>
      </c>
      <c r="C53" s="1" t="s">
        <v>247</v>
      </c>
      <c r="D53" s="1">
        <v>4</v>
      </c>
      <c r="E53" s="9" t="s">
        <v>248</v>
      </c>
    </row>
    <row r="54" spans="1:5" ht="31" customHeight="1">
      <c r="A54" s="7">
        <f>ROW()-ROW(I3d2[[#Headers],[ลำดับที่]])</f>
        <v>51</v>
      </c>
      <c r="B54" s="8" t="s">
        <v>258</v>
      </c>
      <c r="C54" s="1" t="s">
        <v>247</v>
      </c>
      <c r="D54" s="1">
        <v>2</v>
      </c>
      <c r="E54" s="9" t="s">
        <v>259</v>
      </c>
    </row>
    <row r="55" spans="1:5" ht="31" customHeight="1">
      <c r="A55" s="7">
        <f>ROW()-ROW(I3d2[[#Headers],[ลำดับที่]])</f>
        <v>52</v>
      </c>
      <c r="B55" s="8" t="s">
        <v>225</v>
      </c>
      <c r="C55" s="1" t="s">
        <v>226</v>
      </c>
      <c r="D55" s="1">
        <v>2</v>
      </c>
      <c r="E55" s="9" t="s">
        <v>227</v>
      </c>
    </row>
    <row r="56" spans="1:5" ht="31" customHeight="1">
      <c r="A56" s="7">
        <f>ROW()-ROW(I3d2[[#Headers],[ลำดับที่]])</f>
        <v>53</v>
      </c>
      <c r="B56" s="8" t="s">
        <v>203</v>
      </c>
      <c r="C56" s="1" t="s">
        <v>95</v>
      </c>
      <c r="D56" s="1">
        <v>1</v>
      </c>
      <c r="E56" s="9" t="s">
        <v>204</v>
      </c>
    </row>
    <row r="57" spans="1:5" ht="31" customHeight="1">
      <c r="A57" s="7">
        <f>ROW()-ROW(I3d2[[#Headers],[ลำดับที่]])</f>
        <v>54</v>
      </c>
      <c r="B57" s="8" t="s">
        <v>213</v>
      </c>
      <c r="C57" s="1" t="s">
        <v>95</v>
      </c>
      <c r="D57" s="1">
        <v>1</v>
      </c>
      <c r="E57" s="9" t="s">
        <v>214</v>
      </c>
    </row>
    <row r="58" spans="1:5" ht="31" customHeight="1">
      <c r="A58" s="7">
        <f>ROW()-ROW(I3d2[[#Headers],[ลำดับที่]])</f>
        <v>55</v>
      </c>
      <c r="B58" s="8" t="s">
        <v>232</v>
      </c>
      <c r="C58" s="1" t="s">
        <v>95</v>
      </c>
      <c r="D58" s="1">
        <v>1</v>
      </c>
      <c r="E58" s="9" t="s">
        <v>233</v>
      </c>
    </row>
    <row r="59" spans="1:5" ht="31" customHeight="1">
      <c r="A59" s="7">
        <f>ROW()-ROW(I3d2[[#Headers],[ลำดับที่]])</f>
        <v>56</v>
      </c>
      <c r="B59" s="8" t="s">
        <v>249</v>
      </c>
      <c r="C59" s="1" t="s">
        <v>95</v>
      </c>
      <c r="D59" s="1">
        <v>2</v>
      </c>
      <c r="E59" s="9" t="s">
        <v>250</v>
      </c>
    </row>
    <row r="60" spans="1:5" ht="31" customHeight="1">
      <c r="A60" s="7">
        <f>ROW()-ROW(I3d2[[#Headers],[ลำดับที่]])</f>
        <v>57</v>
      </c>
      <c r="B60" s="8" t="s">
        <v>271</v>
      </c>
      <c r="C60" s="1" t="s">
        <v>95</v>
      </c>
      <c r="D60" s="1">
        <v>2</v>
      </c>
      <c r="E60" s="9" t="s">
        <v>272</v>
      </c>
    </row>
    <row r="61" spans="1:5" ht="31" customHeight="1">
      <c r="A61" s="7">
        <f>ROW()-ROW(I3d2[[#Headers],[ลำดับที่]])</f>
        <v>58</v>
      </c>
      <c r="B61" s="8" t="s">
        <v>192</v>
      </c>
      <c r="C61" s="1" t="s">
        <v>111</v>
      </c>
      <c r="D61" s="1">
        <v>5</v>
      </c>
      <c r="E61" s="9" t="s">
        <v>193</v>
      </c>
    </row>
    <row r="62" spans="1:5" ht="31" customHeight="1">
      <c r="A62" s="7">
        <f>ROW()-ROW(I3d2[[#Headers],[ลำดับที่]])</f>
        <v>59</v>
      </c>
      <c r="B62" s="8" t="s">
        <v>198</v>
      </c>
      <c r="C62" s="1" t="s">
        <v>111</v>
      </c>
      <c r="D62" s="1">
        <v>1</v>
      </c>
      <c r="E62" s="9" t="s">
        <v>199</v>
      </c>
    </row>
    <row r="63" spans="1:5" ht="31" customHeight="1">
      <c r="A63" s="7">
        <f>ROW()-ROW(I3d2[[#Headers],[ลำดับที่]])</f>
        <v>60</v>
      </c>
      <c r="B63" s="8" t="s">
        <v>279</v>
      </c>
      <c r="C63" s="1" t="s">
        <v>111</v>
      </c>
      <c r="D63" s="1">
        <v>1</v>
      </c>
      <c r="E63" s="12" t="s">
        <v>280</v>
      </c>
    </row>
    <row r="64" spans="1:5" ht="31" customHeight="1">
      <c r="C64" s="10" t="s">
        <v>8</v>
      </c>
      <c r="D64" s="14">
        <f>SUM(D4:D63)</f>
        <v>130</v>
      </c>
    </row>
    <row r="65" ht="31" customHeight="1"/>
    <row r="66" ht="31" customHeight="1"/>
    <row r="67" ht="31" customHeight="1"/>
    <row r="68" ht="31" customHeight="1"/>
    <row r="69" ht="31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opLeftCell="A12" workbookViewId="0">
      <selection activeCell="C35" sqref="C35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404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ROW()-ROW(I3d3[[#Headers],[ลำดับที่]])</f>
        <v>1</v>
      </c>
      <c r="B4" s="8" t="s">
        <v>358</v>
      </c>
      <c r="C4" s="1" t="s">
        <v>359</v>
      </c>
      <c r="D4" s="1">
        <v>1</v>
      </c>
      <c r="E4" s="9" t="s">
        <v>360</v>
      </c>
    </row>
    <row r="5" spans="1:5" ht="29" customHeight="1">
      <c r="A5" s="7">
        <f>ROW()-ROW(I3d3[[#Headers],[ลำดับที่]])</f>
        <v>2</v>
      </c>
      <c r="B5" s="8" t="s">
        <v>383</v>
      </c>
      <c r="C5" s="1" t="s">
        <v>154</v>
      </c>
      <c r="D5" s="1">
        <v>3</v>
      </c>
      <c r="E5" s="9" t="s">
        <v>384</v>
      </c>
    </row>
    <row r="6" spans="1:5" ht="29" customHeight="1">
      <c r="A6" s="7">
        <f>ROW()-ROW(I3d3[[#Headers],[ลำดับที่]])</f>
        <v>3</v>
      </c>
      <c r="B6" s="8" t="s">
        <v>400</v>
      </c>
      <c r="C6" s="1" t="s">
        <v>68</v>
      </c>
      <c r="D6" s="1">
        <v>2</v>
      </c>
      <c r="E6" s="12" t="s">
        <v>401</v>
      </c>
    </row>
    <row r="7" spans="1:5" ht="29" customHeight="1">
      <c r="A7" s="7">
        <f>ROW()-ROW(I3d3[[#Headers],[ลำดับที่]])</f>
        <v>4</v>
      </c>
      <c r="B7" s="8" t="s">
        <v>332</v>
      </c>
      <c r="C7" s="1" t="s">
        <v>98</v>
      </c>
      <c r="D7" s="1">
        <v>1</v>
      </c>
      <c r="E7" s="9" t="s">
        <v>333</v>
      </c>
    </row>
    <row r="8" spans="1:5" ht="29" customHeight="1">
      <c r="A8" s="7">
        <f>ROW()-ROW(I3d3[[#Headers],[ลำดับที่]])</f>
        <v>5</v>
      </c>
      <c r="B8" s="8" t="s">
        <v>356</v>
      </c>
      <c r="C8" s="1" t="s">
        <v>98</v>
      </c>
      <c r="D8" s="1">
        <v>1</v>
      </c>
      <c r="E8" s="9" t="s">
        <v>357</v>
      </c>
    </row>
    <row r="9" spans="1:5" ht="29" customHeight="1">
      <c r="A9" s="7">
        <f>ROW()-ROW(I3d3[[#Headers],[ลำดับที่]])</f>
        <v>6</v>
      </c>
      <c r="B9" s="8" t="s">
        <v>319</v>
      </c>
      <c r="C9" s="1" t="s">
        <v>33</v>
      </c>
      <c r="D9" s="1">
        <v>1</v>
      </c>
      <c r="E9" s="9" t="s">
        <v>320</v>
      </c>
    </row>
    <row r="10" spans="1:5" ht="29" customHeight="1">
      <c r="A10" s="7">
        <f>ROW()-ROW(I3d3[[#Headers],[ลำดับที่]])</f>
        <v>7</v>
      </c>
      <c r="B10" s="8" t="s">
        <v>349</v>
      </c>
      <c r="C10" s="1" t="s">
        <v>33</v>
      </c>
      <c r="D10" s="1">
        <v>1</v>
      </c>
      <c r="E10" s="9" t="s">
        <v>350</v>
      </c>
    </row>
    <row r="11" spans="1:5" ht="29" customHeight="1">
      <c r="A11" s="7">
        <f>ROW()-ROW(I3d3[[#Headers],[ลำดับที่]])</f>
        <v>8</v>
      </c>
      <c r="B11" s="8" t="s">
        <v>361</v>
      </c>
      <c r="C11" s="1" t="s">
        <v>33</v>
      </c>
      <c r="D11" s="1">
        <v>1</v>
      </c>
      <c r="E11" s="9" t="s">
        <v>362</v>
      </c>
    </row>
    <row r="12" spans="1:5" ht="29" customHeight="1">
      <c r="A12" s="7">
        <f>ROW()-ROW(I3d3[[#Headers],[ลำดับที่]])</f>
        <v>9</v>
      </c>
      <c r="B12" s="8" t="s">
        <v>367</v>
      </c>
      <c r="C12" s="1" t="s">
        <v>33</v>
      </c>
      <c r="D12" s="1">
        <v>1</v>
      </c>
      <c r="E12" s="9" t="s">
        <v>368</v>
      </c>
    </row>
    <row r="13" spans="1:5" ht="29" customHeight="1">
      <c r="A13" s="7">
        <f>ROW()-ROW(I3d3[[#Headers],[ลำดับที่]])</f>
        <v>10</v>
      </c>
      <c r="B13" s="8" t="s">
        <v>329</v>
      </c>
      <c r="C13" s="1" t="s">
        <v>92</v>
      </c>
      <c r="D13" s="1">
        <v>1</v>
      </c>
      <c r="E13" s="9" t="s">
        <v>330</v>
      </c>
    </row>
    <row r="14" spans="1:5" ht="29" customHeight="1">
      <c r="A14" s="7">
        <f>ROW()-ROW(I3d3[[#Headers],[ลำดับที่]])</f>
        <v>11</v>
      </c>
      <c r="B14" s="8" t="s">
        <v>321</v>
      </c>
      <c r="C14" s="1" t="s">
        <v>236</v>
      </c>
      <c r="D14" s="1">
        <v>1</v>
      </c>
      <c r="E14" s="9" t="s">
        <v>322</v>
      </c>
    </row>
    <row r="15" spans="1:5" ht="29" customHeight="1">
      <c r="A15" s="7">
        <f>ROW()-ROW(I3d3[[#Headers],[ลำดับที่]])</f>
        <v>12</v>
      </c>
      <c r="B15" s="8" t="s">
        <v>347</v>
      </c>
      <c r="C15" s="1" t="s">
        <v>236</v>
      </c>
      <c r="D15" s="1">
        <v>1</v>
      </c>
      <c r="E15" s="9" t="s">
        <v>348</v>
      </c>
    </row>
    <row r="16" spans="1:5" ht="29" customHeight="1">
      <c r="A16" s="7">
        <f>ROW()-ROW(I3d3[[#Headers],[ลำดับที่]])</f>
        <v>13</v>
      </c>
      <c r="B16" s="8" t="s">
        <v>340</v>
      </c>
      <c r="C16" s="1" t="s">
        <v>118</v>
      </c>
      <c r="D16" s="1">
        <v>1</v>
      </c>
      <c r="E16" s="9" t="s">
        <v>341</v>
      </c>
    </row>
    <row r="17" spans="1:5" ht="29" customHeight="1">
      <c r="A17" s="7">
        <f>ROW()-ROW(I3d3[[#Headers],[ลำดับที่]])</f>
        <v>14</v>
      </c>
      <c r="B17" s="8" t="s">
        <v>379</v>
      </c>
      <c r="C17" s="1" t="s">
        <v>56</v>
      </c>
      <c r="D17" s="1">
        <v>10</v>
      </c>
      <c r="E17" s="9" t="s">
        <v>380</v>
      </c>
    </row>
    <row r="18" spans="1:5" ht="29" customHeight="1">
      <c r="A18" s="7">
        <f>ROW()-ROW(I3d3[[#Headers],[ลำดับที่]])</f>
        <v>15</v>
      </c>
      <c r="B18" s="8" t="s">
        <v>381</v>
      </c>
      <c r="C18" s="1" t="s">
        <v>56</v>
      </c>
      <c r="D18" s="1">
        <v>2</v>
      </c>
      <c r="E18" s="9" t="s">
        <v>382</v>
      </c>
    </row>
    <row r="19" spans="1:5" ht="29" customHeight="1">
      <c r="A19" s="7">
        <f>ROW()-ROW(I3d3[[#Headers],[ลำดับที่]])</f>
        <v>16</v>
      </c>
      <c r="B19" s="8" t="s">
        <v>396</v>
      </c>
      <c r="C19" s="1" t="s">
        <v>56</v>
      </c>
      <c r="D19" s="1">
        <v>1</v>
      </c>
      <c r="E19" s="9" t="s">
        <v>397</v>
      </c>
    </row>
    <row r="20" spans="1:5" ht="29" customHeight="1">
      <c r="A20" s="7">
        <f>ROW()-ROW(I3d3[[#Headers],[ลำดับที่]])</f>
        <v>17</v>
      </c>
      <c r="B20" s="8" t="s">
        <v>354</v>
      </c>
      <c r="C20" s="1" t="s">
        <v>151</v>
      </c>
      <c r="D20" s="1">
        <v>1</v>
      </c>
      <c r="E20" s="9" t="s">
        <v>355</v>
      </c>
    </row>
    <row r="21" spans="1:5" ht="29" customHeight="1">
      <c r="A21" s="7">
        <f>ROW()-ROW(I3d3[[#Headers],[ลำดับที่]])</f>
        <v>18</v>
      </c>
      <c r="B21" s="8" t="s">
        <v>337</v>
      </c>
      <c r="C21" s="1" t="s">
        <v>82</v>
      </c>
      <c r="D21" s="1">
        <v>1</v>
      </c>
      <c r="E21" s="9" t="s">
        <v>338</v>
      </c>
    </row>
    <row r="22" spans="1:5" ht="29" customHeight="1">
      <c r="A22" s="7">
        <f>ROW()-ROW(I3d3[[#Headers],[ลำดับที่]])</f>
        <v>19</v>
      </c>
      <c r="B22" s="8" t="s">
        <v>369</v>
      </c>
      <c r="C22" s="1" t="s">
        <v>82</v>
      </c>
      <c r="D22" s="1">
        <v>1</v>
      </c>
      <c r="E22" s="9" t="s">
        <v>370</v>
      </c>
    </row>
    <row r="23" spans="1:5" ht="29" customHeight="1">
      <c r="A23" s="7">
        <f>ROW()-ROW(I3d3[[#Headers],[ลำดับที่]])</f>
        <v>20</v>
      </c>
      <c r="B23" s="8" t="s">
        <v>327</v>
      </c>
      <c r="C23" s="1" t="s">
        <v>71</v>
      </c>
      <c r="D23" s="1">
        <v>1</v>
      </c>
      <c r="E23" s="9" t="s">
        <v>328</v>
      </c>
    </row>
    <row r="24" spans="1:5" ht="29" customHeight="1">
      <c r="A24" s="7">
        <f>ROW()-ROW(I3d3[[#Headers],[ลำดับที่]])</f>
        <v>21</v>
      </c>
      <c r="B24" s="8" t="s">
        <v>251</v>
      </c>
      <c r="C24" s="1" t="s">
        <v>252</v>
      </c>
      <c r="D24" s="1">
        <v>1</v>
      </c>
      <c r="E24" s="9" t="s">
        <v>339</v>
      </c>
    </row>
    <row r="25" spans="1:5" ht="29" customHeight="1">
      <c r="A25" s="7">
        <f>ROW()-ROW(I3d3[[#Headers],[ลำดับที่]])</f>
        <v>22</v>
      </c>
      <c r="B25" s="8" t="s">
        <v>310</v>
      </c>
      <c r="C25" s="1" t="s">
        <v>311</v>
      </c>
      <c r="D25" s="1">
        <v>1</v>
      </c>
      <c r="E25" s="9" t="s">
        <v>312</v>
      </c>
    </row>
    <row r="26" spans="1:5" ht="29" customHeight="1">
      <c r="A26" s="7">
        <f>ROW()-ROW(I3d3[[#Headers],[ลำดับที่]])</f>
        <v>23</v>
      </c>
      <c r="B26" s="8" t="s">
        <v>334</v>
      </c>
      <c r="C26" s="1" t="s">
        <v>335</v>
      </c>
      <c r="D26" s="1">
        <v>1</v>
      </c>
      <c r="E26" s="9" t="s">
        <v>336</v>
      </c>
    </row>
    <row r="27" spans="1:5" ht="29" customHeight="1">
      <c r="A27" s="7">
        <f>ROW()-ROW(I3d3[[#Headers],[ลำดับที่]])</f>
        <v>24</v>
      </c>
      <c r="B27" s="8" t="s">
        <v>363</v>
      </c>
      <c r="C27" s="1" t="s">
        <v>335</v>
      </c>
      <c r="D27" s="1">
        <v>1</v>
      </c>
      <c r="E27" s="9" t="s">
        <v>364</v>
      </c>
    </row>
    <row r="28" spans="1:5" ht="29" customHeight="1">
      <c r="A28" s="7">
        <f>ROW()-ROW(I3d3[[#Headers],[ลำดับที่]])</f>
        <v>25</v>
      </c>
      <c r="B28" s="8" t="s">
        <v>306</v>
      </c>
      <c r="C28" s="1" t="s">
        <v>65</v>
      </c>
      <c r="D28" s="1">
        <v>1</v>
      </c>
      <c r="E28" s="9" t="s">
        <v>307</v>
      </c>
    </row>
    <row r="29" spans="1:5" ht="29" customHeight="1">
      <c r="A29" s="7">
        <f>ROW()-ROW(I3d3[[#Headers],[ลำดับที่]])</f>
        <v>26</v>
      </c>
      <c r="B29" s="8" t="s">
        <v>345</v>
      </c>
      <c r="C29" s="1" t="s">
        <v>65</v>
      </c>
      <c r="D29" s="1">
        <v>1</v>
      </c>
      <c r="E29" s="9" t="s">
        <v>346</v>
      </c>
    </row>
    <row r="30" spans="1:5" ht="29" customHeight="1">
      <c r="A30" s="7">
        <f>ROW()-ROW(I3d3[[#Headers],[ลำดับที่]])</f>
        <v>27</v>
      </c>
      <c r="B30" s="8" t="s">
        <v>84</v>
      </c>
      <c r="C30" s="1" t="s">
        <v>65</v>
      </c>
      <c r="D30" s="1">
        <v>1</v>
      </c>
      <c r="E30" s="9" t="s">
        <v>353</v>
      </c>
    </row>
    <row r="31" spans="1:5" ht="29" customHeight="1">
      <c r="A31" s="7">
        <f>ROW()-ROW(I3d3[[#Headers],[ลำดับที่]])</f>
        <v>28</v>
      </c>
      <c r="B31" s="8" t="s">
        <v>308</v>
      </c>
      <c r="C31" s="1" t="s">
        <v>178</v>
      </c>
      <c r="D31" s="1">
        <v>1</v>
      </c>
      <c r="E31" s="9" t="s">
        <v>309</v>
      </c>
    </row>
    <row r="32" spans="1:5" ht="29" customHeight="1">
      <c r="A32" s="7">
        <f>ROW()-ROW(I3d3[[#Headers],[ลำดับที่]])</f>
        <v>29</v>
      </c>
      <c r="B32" s="8" t="s">
        <v>304</v>
      </c>
      <c r="C32" s="1" t="s">
        <v>62</v>
      </c>
      <c r="D32" s="1">
        <v>1</v>
      </c>
      <c r="E32" s="9" t="s">
        <v>305</v>
      </c>
    </row>
    <row r="33" spans="1:5" ht="29" customHeight="1">
      <c r="A33" s="7">
        <f>ROW()-ROW(I3d3[[#Headers],[ลำดับที่]])</f>
        <v>30</v>
      </c>
      <c r="B33" s="8" t="s">
        <v>317</v>
      </c>
      <c r="C33" s="1" t="s">
        <v>62</v>
      </c>
      <c r="D33" s="1">
        <v>1</v>
      </c>
      <c r="E33" s="9" t="s">
        <v>318</v>
      </c>
    </row>
    <row r="34" spans="1:5" ht="29" customHeight="1">
      <c r="A34" s="7">
        <f>ROW()-ROW(I3d3[[#Headers],[ลำดับที่]])</f>
        <v>31</v>
      </c>
      <c r="B34" s="8" t="s">
        <v>365</v>
      </c>
      <c r="C34" s="1" t="s">
        <v>124</v>
      </c>
      <c r="D34" s="1">
        <v>1</v>
      </c>
      <c r="E34" s="9" t="s">
        <v>366</v>
      </c>
    </row>
    <row r="35" spans="1:5" ht="29" customHeight="1">
      <c r="A35" s="7">
        <f>ROW()-ROW(I3d3[[#Headers],[ลำดับที่]])</f>
        <v>32</v>
      </c>
      <c r="B35" s="8" t="s">
        <v>385</v>
      </c>
      <c r="C35" s="1" t="s">
        <v>287</v>
      </c>
      <c r="D35" s="1">
        <v>1</v>
      </c>
      <c r="E35" s="9" t="s">
        <v>386</v>
      </c>
    </row>
    <row r="36" spans="1:5" ht="29" customHeight="1">
      <c r="A36" s="7">
        <f>ROW()-ROW(I3d3[[#Headers],[ลำดับที่]])</f>
        <v>33</v>
      </c>
      <c r="B36" s="8" t="s">
        <v>373</v>
      </c>
      <c r="C36" s="1" t="s">
        <v>79</v>
      </c>
      <c r="D36" s="1">
        <v>1</v>
      </c>
      <c r="E36" s="9" t="s">
        <v>374</v>
      </c>
    </row>
    <row r="37" spans="1:5" ht="29" customHeight="1">
      <c r="A37" s="7">
        <f>ROW()-ROW(I3d3[[#Headers],[ลำดับที่]])</f>
        <v>34</v>
      </c>
      <c r="B37" s="8" t="s">
        <v>402</v>
      </c>
      <c r="C37" s="1" t="s">
        <v>79</v>
      </c>
      <c r="D37" s="1">
        <v>3</v>
      </c>
      <c r="E37" s="9" t="s">
        <v>403</v>
      </c>
    </row>
    <row r="38" spans="1:5" ht="29" customHeight="1">
      <c r="A38" s="7">
        <f>ROW()-ROW(I3d3[[#Headers],[ลำดับที่]])</f>
        <v>35</v>
      </c>
      <c r="B38" s="8" t="s">
        <v>377</v>
      </c>
      <c r="C38" s="1" t="s">
        <v>59</v>
      </c>
      <c r="D38" s="1">
        <v>1</v>
      </c>
      <c r="E38" s="9" t="s">
        <v>378</v>
      </c>
    </row>
    <row r="39" spans="1:5" ht="29" customHeight="1">
      <c r="A39" s="7">
        <f>ROW()-ROW(I3d3[[#Headers],[ลำดับที่]])</f>
        <v>36</v>
      </c>
      <c r="B39" s="8" t="s">
        <v>398</v>
      </c>
      <c r="C39" s="1" t="s">
        <v>59</v>
      </c>
      <c r="D39" s="1">
        <v>1</v>
      </c>
      <c r="E39" s="9" t="s">
        <v>399</v>
      </c>
    </row>
    <row r="40" spans="1:5" ht="29" customHeight="1">
      <c r="A40" s="7">
        <f>ROW()-ROW(I3d3[[#Headers],[ลำดับที่]])</f>
        <v>37</v>
      </c>
      <c r="B40" s="8" t="s">
        <v>323</v>
      </c>
      <c r="C40" s="1" t="s">
        <v>130</v>
      </c>
      <c r="D40" s="1">
        <v>1</v>
      </c>
      <c r="E40" s="9" t="s">
        <v>324</v>
      </c>
    </row>
    <row r="41" spans="1:5" ht="29" customHeight="1">
      <c r="A41" s="7">
        <f>ROW()-ROW(I3d3[[#Headers],[ลำดับที่]])</f>
        <v>38</v>
      </c>
      <c r="B41" s="8" t="s">
        <v>325</v>
      </c>
      <c r="C41" s="1" t="s">
        <v>130</v>
      </c>
      <c r="D41" s="1">
        <v>1</v>
      </c>
      <c r="E41" s="9" t="s">
        <v>326</v>
      </c>
    </row>
    <row r="42" spans="1:5" ht="29" customHeight="1">
      <c r="A42" s="7">
        <f>ROW()-ROW(I3d3[[#Headers],[ลำดับที่]])</f>
        <v>39</v>
      </c>
      <c r="B42" s="8" t="s">
        <v>391</v>
      </c>
      <c r="C42" s="1" t="s">
        <v>130</v>
      </c>
      <c r="D42" s="1">
        <v>1</v>
      </c>
      <c r="E42" s="12" t="s">
        <v>392</v>
      </c>
    </row>
    <row r="43" spans="1:5" ht="29" customHeight="1">
      <c r="A43" s="7">
        <f>ROW()-ROW(I3d3[[#Headers],[ลำดับที่]])</f>
        <v>40</v>
      </c>
      <c r="B43" s="8" t="s">
        <v>342</v>
      </c>
      <c r="C43" s="1" t="s">
        <v>343</v>
      </c>
      <c r="D43" s="1">
        <v>1</v>
      </c>
      <c r="E43" s="9" t="s">
        <v>344</v>
      </c>
    </row>
    <row r="44" spans="1:5" ht="29" customHeight="1">
      <c r="A44" s="7">
        <f>ROW()-ROW(I3d3[[#Headers],[ลำดับที่]])</f>
        <v>41</v>
      </c>
      <c r="B44" s="8" t="s">
        <v>393</v>
      </c>
      <c r="C44" s="1" t="s">
        <v>76</v>
      </c>
      <c r="D44" s="1">
        <v>8</v>
      </c>
      <c r="E44" s="9" t="s">
        <v>394</v>
      </c>
    </row>
    <row r="45" spans="1:5" ht="29" customHeight="1">
      <c r="A45" s="7">
        <f>ROW()-ROW(I3d3[[#Headers],[ลำดับที่]])</f>
        <v>42</v>
      </c>
      <c r="B45" s="8" t="s">
        <v>371</v>
      </c>
      <c r="C45" s="1" t="s">
        <v>159</v>
      </c>
      <c r="D45" s="1">
        <v>1</v>
      </c>
      <c r="E45" s="9" t="s">
        <v>372</v>
      </c>
    </row>
    <row r="46" spans="1:5" ht="29" customHeight="1">
      <c r="A46" s="7">
        <f>ROW()-ROW(I3d3[[#Headers],[ลำดับที่]])</f>
        <v>43</v>
      </c>
      <c r="B46" s="8" t="s">
        <v>375</v>
      </c>
      <c r="C46" s="1" t="s">
        <v>159</v>
      </c>
      <c r="D46" s="1">
        <v>1</v>
      </c>
      <c r="E46" s="9" t="s">
        <v>376</v>
      </c>
    </row>
    <row r="47" spans="1:5" ht="29" customHeight="1">
      <c r="A47" s="7">
        <f>ROW()-ROW(I3d3[[#Headers],[ลำดับที่]])</f>
        <v>44</v>
      </c>
      <c r="B47" s="8" t="s">
        <v>371</v>
      </c>
      <c r="C47" s="1" t="s">
        <v>159</v>
      </c>
      <c r="D47" s="1">
        <v>1</v>
      </c>
      <c r="E47" s="9" t="s">
        <v>395</v>
      </c>
    </row>
    <row r="48" spans="1:5" ht="29" customHeight="1">
      <c r="A48" s="7">
        <f>ROW()-ROW(I3d3[[#Headers],[ลำดับที่]])</f>
        <v>45</v>
      </c>
      <c r="B48" s="8" t="s">
        <v>271</v>
      </c>
      <c r="C48" s="1" t="s">
        <v>95</v>
      </c>
      <c r="D48" s="1">
        <v>1</v>
      </c>
      <c r="E48" s="9" t="s">
        <v>331</v>
      </c>
    </row>
    <row r="49" spans="1:5" ht="29" customHeight="1">
      <c r="A49" s="7">
        <f>ROW()-ROW(I3d3[[#Headers],[ลำดับที่]])</f>
        <v>46</v>
      </c>
      <c r="B49" s="8" t="s">
        <v>387</v>
      </c>
      <c r="C49" s="1" t="s">
        <v>95</v>
      </c>
      <c r="D49" s="1">
        <v>2</v>
      </c>
      <c r="E49" s="12" t="s">
        <v>388</v>
      </c>
    </row>
    <row r="50" spans="1:5" ht="29" customHeight="1">
      <c r="A50" s="7">
        <f>ROW()-ROW(I3d3[[#Headers],[ลำดับที่]])</f>
        <v>47</v>
      </c>
      <c r="B50" s="8" t="s">
        <v>389</v>
      </c>
      <c r="C50" s="1" t="s">
        <v>95</v>
      </c>
      <c r="D50" s="1">
        <v>2</v>
      </c>
      <c r="E50" s="9" t="s">
        <v>390</v>
      </c>
    </row>
    <row r="51" spans="1:5" ht="29" customHeight="1">
      <c r="A51" s="7">
        <f>ROW()-ROW(I3d3[[#Headers],[ลำดับที่]])</f>
        <v>48</v>
      </c>
      <c r="B51" s="8" t="s">
        <v>315</v>
      </c>
      <c r="C51" s="1" t="s">
        <v>138</v>
      </c>
      <c r="D51" s="1">
        <v>1</v>
      </c>
      <c r="E51" s="9" t="s">
        <v>316</v>
      </c>
    </row>
    <row r="52" spans="1:5" ht="29" customHeight="1">
      <c r="A52" s="7">
        <f>ROW()-ROW(I3d3[[#Headers],[ลำดับที่]])</f>
        <v>49</v>
      </c>
      <c r="B52" s="8" t="s">
        <v>313</v>
      </c>
      <c r="C52" s="1" t="s">
        <v>111</v>
      </c>
      <c r="D52" s="1">
        <v>12</v>
      </c>
      <c r="E52" s="9" t="s">
        <v>314</v>
      </c>
    </row>
    <row r="53" spans="1:5" ht="29" customHeight="1">
      <c r="A53" s="7">
        <f>ROW()-ROW(I3d3[[#Headers],[ลำดับที่]])</f>
        <v>50</v>
      </c>
      <c r="B53" s="8" t="s">
        <v>351</v>
      </c>
      <c r="C53" s="1" t="s">
        <v>111</v>
      </c>
      <c r="D53" s="1">
        <v>1</v>
      </c>
      <c r="E53" s="9" t="s">
        <v>352</v>
      </c>
    </row>
    <row r="54" spans="1:5" ht="29" customHeight="1">
      <c r="C54" s="10" t="s">
        <v>8</v>
      </c>
      <c r="D54" s="11">
        <f>SUM(D4:D53)</f>
        <v>85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"/>
  <sheetViews>
    <sheetView workbookViewId="0">
      <selection activeCell="B29" sqref="B29:E53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6.6640625" bestFit="1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405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ROW()-ROW(I3d4[[#Headers],[ลำดับที่]])</f>
        <v>1</v>
      </c>
      <c r="B4" s="8" t="s">
        <v>414</v>
      </c>
      <c r="C4" s="1" t="s">
        <v>415</v>
      </c>
      <c r="D4" s="1">
        <v>2</v>
      </c>
      <c r="E4" s="9" t="s">
        <v>416</v>
      </c>
    </row>
    <row r="5" spans="1:5" ht="29" customHeight="1">
      <c r="A5" s="7">
        <f>ROW()-ROW(I3d4[[#Headers],[ลำดับที่]])</f>
        <v>2</v>
      </c>
      <c r="B5" s="8" t="s">
        <v>443</v>
      </c>
      <c r="C5" s="1" t="s">
        <v>154</v>
      </c>
      <c r="D5" s="1">
        <v>1</v>
      </c>
      <c r="E5" s="9" t="s">
        <v>444</v>
      </c>
    </row>
    <row r="6" spans="1:5" ht="29" customHeight="1">
      <c r="A6" s="7">
        <f>ROW()-ROW(I3d4[[#Headers],[ลำดับที่]])</f>
        <v>3</v>
      </c>
      <c r="B6" s="8" t="s">
        <v>419</v>
      </c>
      <c r="C6" s="1" t="s">
        <v>33</v>
      </c>
      <c r="D6" s="1">
        <v>1</v>
      </c>
      <c r="E6" s="9" t="s">
        <v>420</v>
      </c>
    </row>
    <row r="7" spans="1:5" ht="29" customHeight="1">
      <c r="A7" s="7">
        <f>ROW()-ROW(I3d4[[#Headers],[ลำดับที่]])</f>
        <v>4</v>
      </c>
      <c r="B7" s="8" t="s">
        <v>417</v>
      </c>
      <c r="C7" s="1" t="s">
        <v>236</v>
      </c>
      <c r="D7" s="1">
        <v>1</v>
      </c>
      <c r="E7" s="9" t="s">
        <v>418</v>
      </c>
    </row>
    <row r="8" spans="1:5" ht="29" customHeight="1">
      <c r="A8" s="7">
        <f>ROW()-ROW(I3d4[[#Headers],[ลำดับที่]])</f>
        <v>5</v>
      </c>
      <c r="B8" s="8" t="s">
        <v>429</v>
      </c>
      <c r="C8" s="1" t="s">
        <v>236</v>
      </c>
      <c r="D8" s="1">
        <v>2</v>
      </c>
      <c r="E8" s="12" t="s">
        <v>430</v>
      </c>
    </row>
    <row r="9" spans="1:5" ht="29" customHeight="1">
      <c r="A9" s="7">
        <f>ROW()-ROW(I3d4[[#Headers],[ลำดับที่]])</f>
        <v>6</v>
      </c>
      <c r="B9" s="8" t="s">
        <v>431</v>
      </c>
      <c r="C9" s="1" t="s">
        <v>118</v>
      </c>
      <c r="D9" s="1">
        <v>2</v>
      </c>
      <c r="E9" s="9" t="s">
        <v>432</v>
      </c>
    </row>
    <row r="10" spans="1:5" ht="29" customHeight="1">
      <c r="A10" s="7">
        <f>ROW()-ROW(I3d4[[#Headers],[ลำดับที่]])</f>
        <v>7</v>
      </c>
      <c r="B10" s="8" t="s">
        <v>437</v>
      </c>
      <c r="C10" s="1" t="s">
        <v>118</v>
      </c>
      <c r="D10" s="1">
        <v>2</v>
      </c>
      <c r="E10" s="9" t="s">
        <v>438</v>
      </c>
    </row>
    <row r="11" spans="1:5" ht="29" customHeight="1">
      <c r="A11" s="7">
        <f>ROW()-ROW(I3d4[[#Headers],[ลำดับที่]])</f>
        <v>8</v>
      </c>
      <c r="B11" s="8" t="s">
        <v>445</v>
      </c>
      <c r="C11" s="1" t="s">
        <v>151</v>
      </c>
      <c r="D11" s="1">
        <v>1</v>
      </c>
      <c r="E11" s="9" t="s">
        <v>446</v>
      </c>
    </row>
    <row r="12" spans="1:5" ht="29" customHeight="1">
      <c r="A12" s="7">
        <f>ROW()-ROW(I3d4[[#Headers],[ลำดับที่]])</f>
        <v>9</v>
      </c>
      <c r="B12" s="8" t="s">
        <v>406</v>
      </c>
      <c r="C12" s="1" t="s">
        <v>148</v>
      </c>
      <c r="D12" s="1">
        <v>1</v>
      </c>
      <c r="E12" s="9" t="s">
        <v>407</v>
      </c>
    </row>
    <row r="13" spans="1:5" ht="29" customHeight="1">
      <c r="A13" s="7">
        <f>ROW()-ROW(I3d4[[#Headers],[ลำดับที่]])</f>
        <v>10</v>
      </c>
      <c r="B13" s="8" t="s">
        <v>433</v>
      </c>
      <c r="C13" s="1" t="s">
        <v>148</v>
      </c>
      <c r="D13" s="1">
        <v>1</v>
      </c>
      <c r="E13" s="9" t="s">
        <v>434</v>
      </c>
    </row>
    <row r="14" spans="1:5" ht="29" customHeight="1">
      <c r="A14" s="7">
        <f>ROW()-ROW(I3d4[[#Headers],[ลำดับที่]])</f>
        <v>11</v>
      </c>
      <c r="B14" s="8" t="s">
        <v>421</v>
      </c>
      <c r="C14" s="1" t="s">
        <v>127</v>
      </c>
      <c r="D14" s="1">
        <v>1</v>
      </c>
      <c r="E14" s="9" t="s">
        <v>422</v>
      </c>
    </row>
    <row r="15" spans="1:5" ht="29" customHeight="1">
      <c r="A15" s="7">
        <f>ROW()-ROW(I3d4[[#Headers],[ลำดับที่]])</f>
        <v>12</v>
      </c>
      <c r="B15" s="8" t="s">
        <v>424</v>
      </c>
      <c r="C15" s="1" t="s">
        <v>219</v>
      </c>
      <c r="D15" s="1">
        <v>3</v>
      </c>
      <c r="E15" s="9" t="s">
        <v>425</v>
      </c>
    </row>
    <row r="16" spans="1:5" ht="29" customHeight="1">
      <c r="A16" s="7">
        <f>ROW()-ROW(I3d4[[#Headers],[ลำดับที่]])</f>
        <v>13</v>
      </c>
      <c r="B16" s="8" t="s">
        <v>439</v>
      </c>
      <c r="C16" s="1" t="s">
        <v>178</v>
      </c>
      <c r="D16" s="1">
        <v>1</v>
      </c>
      <c r="E16" s="9" t="s">
        <v>440</v>
      </c>
    </row>
    <row r="17" spans="1:5" ht="29" customHeight="1">
      <c r="A17" s="7">
        <f>ROW()-ROW(I3d4[[#Headers],[ลำดับที่]])</f>
        <v>14</v>
      </c>
      <c r="B17" s="8" t="s">
        <v>454</v>
      </c>
      <c r="C17" s="1" t="s">
        <v>178</v>
      </c>
      <c r="D17" s="1">
        <v>1</v>
      </c>
      <c r="E17" s="9" t="s">
        <v>455</v>
      </c>
    </row>
    <row r="18" spans="1:5" ht="29" customHeight="1">
      <c r="A18" s="7">
        <f>ROW()-ROW(I3d4[[#Headers],[ลำดับที่]])</f>
        <v>15</v>
      </c>
      <c r="B18" s="8" t="s">
        <v>452</v>
      </c>
      <c r="C18" s="1" t="s">
        <v>121</v>
      </c>
      <c r="D18" s="1">
        <v>1</v>
      </c>
      <c r="E18" s="9" t="s">
        <v>453</v>
      </c>
    </row>
    <row r="19" spans="1:5" ht="29" customHeight="1">
      <c r="A19" s="7">
        <f>ROW()-ROW(I3d4[[#Headers],[ลำดับที่]])</f>
        <v>16</v>
      </c>
      <c r="B19" s="8" t="s">
        <v>37</v>
      </c>
      <c r="C19" s="1" t="s">
        <v>38</v>
      </c>
      <c r="D19" s="1">
        <v>1</v>
      </c>
      <c r="E19" s="9" t="s">
        <v>410</v>
      </c>
    </row>
    <row r="20" spans="1:5" ht="29" customHeight="1">
      <c r="A20" s="7">
        <f>ROW()-ROW(I3d4[[#Headers],[ลำดับที่]])</f>
        <v>17</v>
      </c>
      <c r="B20" s="8" t="s">
        <v>450</v>
      </c>
      <c r="C20" s="1" t="s">
        <v>38</v>
      </c>
      <c r="D20" s="1">
        <v>1</v>
      </c>
      <c r="E20" s="9" t="s">
        <v>451</v>
      </c>
    </row>
    <row r="21" spans="1:5" ht="29" customHeight="1">
      <c r="A21" s="7">
        <f>ROW()-ROW(I3d4[[#Headers],[ลำดับที่]])</f>
        <v>18</v>
      </c>
      <c r="B21" s="8" t="s">
        <v>426</v>
      </c>
      <c r="C21" s="1" t="s">
        <v>427</v>
      </c>
      <c r="D21" s="1">
        <v>3</v>
      </c>
      <c r="E21" s="9" t="s">
        <v>428</v>
      </c>
    </row>
    <row r="22" spans="1:5" ht="29" customHeight="1">
      <c r="A22" s="7">
        <f>ROW()-ROW(I3d4[[#Headers],[ลำดับที่]])</f>
        <v>19</v>
      </c>
      <c r="B22" s="8" t="s">
        <v>411</v>
      </c>
      <c r="C22" s="1" t="s">
        <v>412</v>
      </c>
      <c r="D22" s="1">
        <v>4</v>
      </c>
      <c r="E22" s="9" t="s">
        <v>413</v>
      </c>
    </row>
    <row r="23" spans="1:5" ht="29" customHeight="1">
      <c r="A23" s="7">
        <f>ROW()-ROW(I3d4[[#Headers],[ลำดับที่]])</f>
        <v>20</v>
      </c>
      <c r="B23" s="8" t="s">
        <v>408</v>
      </c>
      <c r="C23" s="1" t="s">
        <v>59</v>
      </c>
      <c r="D23" s="1">
        <v>2</v>
      </c>
      <c r="E23" s="9" t="s">
        <v>409</v>
      </c>
    </row>
    <row r="24" spans="1:5" ht="29" customHeight="1">
      <c r="A24" s="7">
        <f>ROW()-ROW(I3d4[[#Headers],[ลำดับที่]])</f>
        <v>21</v>
      </c>
      <c r="B24" s="8" t="s">
        <v>441</v>
      </c>
      <c r="C24" s="1" t="s">
        <v>130</v>
      </c>
      <c r="D24" s="1">
        <v>3</v>
      </c>
      <c r="E24" s="9" t="s">
        <v>442</v>
      </c>
    </row>
    <row r="25" spans="1:5" ht="29" customHeight="1">
      <c r="A25" s="7">
        <f>ROW()-ROW(I3d4[[#Headers],[ลำดับที่]])</f>
        <v>22</v>
      </c>
      <c r="B25" s="8" t="s">
        <v>456</v>
      </c>
      <c r="C25" s="1" t="s">
        <v>130</v>
      </c>
      <c r="D25" s="1">
        <v>1</v>
      </c>
      <c r="E25" s="12" t="s">
        <v>457</v>
      </c>
    </row>
    <row r="26" spans="1:5" ht="29" customHeight="1">
      <c r="A26" s="7">
        <f>ROW()-ROW(I3d4[[#Headers],[ลำดับที่]])</f>
        <v>23</v>
      </c>
      <c r="B26" s="8" t="s">
        <v>447</v>
      </c>
      <c r="C26" s="1" t="s">
        <v>448</v>
      </c>
      <c r="D26" s="1">
        <v>1</v>
      </c>
      <c r="E26" s="9" t="s">
        <v>449</v>
      </c>
    </row>
    <row r="27" spans="1:5" ht="29" customHeight="1">
      <c r="A27" s="7">
        <f>ROW()-ROW(I3d4[[#Headers],[ลำดับที่]])</f>
        <v>24</v>
      </c>
      <c r="B27" s="8" t="s">
        <v>158</v>
      </c>
      <c r="C27" s="1" t="s">
        <v>159</v>
      </c>
      <c r="D27" s="1">
        <v>2</v>
      </c>
      <c r="E27" s="9" t="s">
        <v>423</v>
      </c>
    </row>
    <row r="28" spans="1:5" ht="29" customHeight="1">
      <c r="A28" s="7">
        <f>ROW()-ROW(I3d4[[#Headers],[ลำดับที่]])</f>
        <v>25</v>
      </c>
      <c r="B28" s="8" t="s">
        <v>435</v>
      </c>
      <c r="C28" s="1" t="s">
        <v>138</v>
      </c>
      <c r="D28" s="1">
        <v>1</v>
      </c>
      <c r="E28" s="12" t="s">
        <v>436</v>
      </c>
    </row>
    <row r="29" spans="1:5" ht="29" customHeight="1">
      <c r="C29" s="10" t="s">
        <v>8</v>
      </c>
      <c r="D29" s="11">
        <f>SUM(D4:D28)</f>
        <v>40</v>
      </c>
    </row>
    <row r="30" spans="1:5" ht="29" customHeight="1"/>
    <row r="31" spans="1:5" ht="29" customHeight="1"/>
    <row r="32" spans="1:5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topLeftCell="A2" workbookViewId="0">
      <selection activeCell="C5" sqref="C5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6.6640625" bestFit="1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543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ROW()-ROW(I3d5[[#Headers],[ลำดับที่]])</f>
        <v>1</v>
      </c>
      <c r="B4" s="8" t="s">
        <v>518</v>
      </c>
      <c r="C4" s="1" t="s">
        <v>359</v>
      </c>
      <c r="D4" s="1">
        <v>1</v>
      </c>
      <c r="E4" s="9" t="s">
        <v>519</v>
      </c>
    </row>
    <row r="5" spans="1:5" ht="29" customHeight="1">
      <c r="A5" s="7">
        <f>ROW()-ROW(I3d5[[#Headers],[ลำดับที่]])</f>
        <v>2</v>
      </c>
      <c r="B5" s="8" t="s">
        <v>458</v>
      </c>
      <c r="C5" s="1" t="s">
        <v>459</v>
      </c>
      <c r="D5" s="1">
        <v>1</v>
      </c>
      <c r="E5" s="9" t="s">
        <v>460</v>
      </c>
    </row>
    <row r="6" spans="1:5" ht="29" customHeight="1">
      <c r="A6" s="7">
        <f>ROW()-ROW(I3d5[[#Headers],[ลำดับที่]])</f>
        <v>3</v>
      </c>
      <c r="B6" s="8" t="s">
        <v>470</v>
      </c>
      <c r="C6" s="1" t="s">
        <v>236</v>
      </c>
      <c r="D6" s="1">
        <v>1</v>
      </c>
      <c r="E6" s="9" t="s">
        <v>471</v>
      </c>
    </row>
    <row r="7" spans="1:5" ht="29" customHeight="1">
      <c r="A7" s="7">
        <f>ROW()-ROW(I3d5[[#Headers],[ลำดับที่]])</f>
        <v>4</v>
      </c>
      <c r="B7" s="8" t="s">
        <v>488</v>
      </c>
      <c r="C7" s="1" t="s">
        <v>236</v>
      </c>
      <c r="D7" s="1">
        <v>1</v>
      </c>
      <c r="E7" s="9" t="s">
        <v>489</v>
      </c>
    </row>
    <row r="8" spans="1:5" ht="29" customHeight="1">
      <c r="A8" s="7">
        <f>ROW()-ROW(I3d5[[#Headers],[ลำดับที่]])</f>
        <v>5</v>
      </c>
      <c r="B8" s="8" t="s">
        <v>474</v>
      </c>
      <c r="C8" s="1" t="s">
        <v>56</v>
      </c>
      <c r="D8" s="1">
        <v>12</v>
      </c>
      <c r="E8" s="9" t="s">
        <v>475</v>
      </c>
    </row>
    <row r="9" spans="1:5" ht="29" customHeight="1">
      <c r="A9" s="7">
        <f>ROW()-ROW(I3d5[[#Headers],[ลำดับที่]])</f>
        <v>6</v>
      </c>
      <c r="B9" s="8" t="s">
        <v>474</v>
      </c>
      <c r="C9" s="1" t="s">
        <v>56</v>
      </c>
      <c r="D9" s="1">
        <v>2</v>
      </c>
      <c r="E9" s="9" t="s">
        <v>485</v>
      </c>
    </row>
    <row r="10" spans="1:5" ht="29" customHeight="1">
      <c r="A10" s="7">
        <f>ROW()-ROW(I3d5[[#Headers],[ลำดับที่]])</f>
        <v>7</v>
      </c>
      <c r="B10" s="8" t="s">
        <v>486</v>
      </c>
      <c r="C10" s="1" t="s">
        <v>56</v>
      </c>
      <c r="D10" s="1">
        <v>1</v>
      </c>
      <c r="E10" s="9" t="s">
        <v>487</v>
      </c>
    </row>
    <row r="11" spans="1:5" ht="29" customHeight="1">
      <c r="A11" s="7">
        <f>ROW()-ROW(I3d5[[#Headers],[ลำดับที่]])</f>
        <v>8</v>
      </c>
      <c r="B11" s="8" t="s">
        <v>145</v>
      </c>
      <c r="C11" s="1" t="s">
        <v>56</v>
      </c>
      <c r="D11" s="1">
        <v>1</v>
      </c>
      <c r="E11" s="9" t="s">
        <v>493</v>
      </c>
    </row>
    <row r="12" spans="1:5" ht="29" customHeight="1">
      <c r="A12" s="7">
        <f>ROW()-ROW(I3d5[[#Headers],[ลำดับที่]])</f>
        <v>9</v>
      </c>
      <c r="B12" s="8" t="s">
        <v>498</v>
      </c>
      <c r="C12" s="1" t="s">
        <v>56</v>
      </c>
      <c r="D12" s="1">
        <v>1</v>
      </c>
      <c r="E12" s="9" t="s">
        <v>499</v>
      </c>
    </row>
    <row r="13" spans="1:5" ht="29" customHeight="1">
      <c r="A13" s="7">
        <f>ROW()-ROW(I3d5[[#Headers],[ลำดับที่]])</f>
        <v>10</v>
      </c>
      <c r="B13" s="8" t="s">
        <v>504</v>
      </c>
      <c r="C13" s="1" t="s">
        <v>56</v>
      </c>
      <c r="D13" s="1">
        <v>1</v>
      </c>
      <c r="E13" s="9" t="s">
        <v>505</v>
      </c>
    </row>
    <row r="14" spans="1:5" ht="29" customHeight="1">
      <c r="A14" s="7">
        <f>ROW()-ROW(I3d5[[#Headers],[ลำดับที่]])</f>
        <v>11</v>
      </c>
      <c r="B14" s="8" t="s">
        <v>520</v>
      </c>
      <c r="C14" s="1" t="s">
        <v>56</v>
      </c>
      <c r="D14" s="1">
        <v>3</v>
      </c>
      <c r="E14" s="9" t="s">
        <v>521</v>
      </c>
    </row>
    <row r="15" spans="1:5" ht="29" customHeight="1">
      <c r="A15" s="7">
        <f>ROW()-ROW(I3d5[[#Headers],[ลำดับที่]])</f>
        <v>12</v>
      </c>
      <c r="B15" s="8" t="s">
        <v>535</v>
      </c>
      <c r="C15" s="1" t="s">
        <v>56</v>
      </c>
      <c r="D15" s="1">
        <v>1</v>
      </c>
      <c r="E15" s="9" t="s">
        <v>536</v>
      </c>
    </row>
    <row r="16" spans="1:5" ht="29" customHeight="1">
      <c r="A16" s="7">
        <f>ROW()-ROW(I3d5[[#Headers],[ลำดับที่]])</f>
        <v>13</v>
      </c>
      <c r="B16" s="8" t="s">
        <v>539</v>
      </c>
      <c r="C16" s="1" t="s">
        <v>56</v>
      </c>
      <c r="D16" s="1">
        <v>1</v>
      </c>
      <c r="E16" s="9" t="s">
        <v>540</v>
      </c>
    </row>
    <row r="17" spans="1:5" ht="29" customHeight="1">
      <c r="A17" s="7">
        <f>ROW()-ROW(I3d5[[#Headers],[ลำดับที่]])</f>
        <v>14</v>
      </c>
      <c r="B17" s="8" t="s">
        <v>524</v>
      </c>
      <c r="C17" s="1" t="s">
        <v>151</v>
      </c>
      <c r="D17" s="1">
        <v>2</v>
      </c>
      <c r="E17" s="12" t="s">
        <v>525</v>
      </c>
    </row>
    <row r="18" spans="1:5" ht="29" customHeight="1">
      <c r="A18" s="7">
        <f>ROW()-ROW(I3d5[[#Headers],[ลำดับที่]])</f>
        <v>15</v>
      </c>
      <c r="B18" s="8" t="s">
        <v>284</v>
      </c>
      <c r="C18" s="1" t="s">
        <v>82</v>
      </c>
      <c r="D18" s="1">
        <v>1</v>
      </c>
      <c r="E18" s="9" t="s">
        <v>500</v>
      </c>
    </row>
    <row r="19" spans="1:5" ht="29" customHeight="1">
      <c r="A19" s="7">
        <f>ROW()-ROW(I3d5[[#Headers],[ลำดับที่]])</f>
        <v>16</v>
      </c>
      <c r="B19" s="8" t="s">
        <v>537</v>
      </c>
      <c r="C19" s="1" t="s">
        <v>82</v>
      </c>
      <c r="D19" s="1">
        <v>15</v>
      </c>
      <c r="E19" s="9" t="s">
        <v>538</v>
      </c>
    </row>
    <row r="20" spans="1:5" ht="29" customHeight="1">
      <c r="A20" s="7">
        <f>ROW()-ROW(I3d5[[#Headers],[ลำดับที่]])</f>
        <v>17</v>
      </c>
      <c r="B20" s="8" t="s">
        <v>501</v>
      </c>
      <c r="C20" s="1" t="s">
        <v>502</v>
      </c>
      <c r="D20" s="1">
        <v>1</v>
      </c>
      <c r="E20" s="9" t="s">
        <v>503</v>
      </c>
    </row>
    <row r="21" spans="1:5" ht="29" customHeight="1">
      <c r="A21" s="7">
        <f>ROW()-ROW(I3d5[[#Headers],[ลำดับที่]])</f>
        <v>18</v>
      </c>
      <c r="B21" s="8" t="s">
        <v>467</v>
      </c>
      <c r="C21" s="1" t="s">
        <v>148</v>
      </c>
      <c r="D21" s="1">
        <v>1</v>
      </c>
      <c r="E21" s="9" t="s">
        <v>468</v>
      </c>
    </row>
    <row r="22" spans="1:5" ht="29" customHeight="1">
      <c r="A22" s="7">
        <f>ROW()-ROW(I3d5[[#Headers],[ลำดับที่]])</f>
        <v>19</v>
      </c>
      <c r="B22" s="8" t="s">
        <v>494</v>
      </c>
      <c r="C22" s="1" t="s">
        <v>148</v>
      </c>
      <c r="D22" s="1">
        <v>1</v>
      </c>
      <c r="E22" s="9" t="s">
        <v>495</v>
      </c>
    </row>
    <row r="23" spans="1:5" ht="29" customHeight="1">
      <c r="A23" s="7">
        <f>ROW()-ROW(I3d5[[#Headers],[ลำดับที่]])</f>
        <v>20</v>
      </c>
      <c r="B23" s="8" t="s">
        <v>506</v>
      </c>
      <c r="C23" s="1" t="s">
        <v>71</v>
      </c>
      <c r="D23" s="1">
        <v>1</v>
      </c>
      <c r="E23" s="9" t="s">
        <v>507</v>
      </c>
    </row>
    <row r="24" spans="1:5" ht="29" customHeight="1">
      <c r="A24" s="7">
        <f>ROW()-ROW(I3d5[[#Headers],[ลำดับที่]])</f>
        <v>21</v>
      </c>
      <c r="B24" s="8" t="s">
        <v>508</v>
      </c>
      <c r="C24" s="1" t="s">
        <v>71</v>
      </c>
      <c r="D24" s="1">
        <v>1</v>
      </c>
      <c r="E24" s="9" t="s">
        <v>509</v>
      </c>
    </row>
    <row r="25" spans="1:5" ht="29" customHeight="1">
      <c r="A25" s="7">
        <f>ROW()-ROW(I3d5[[#Headers],[ลำดับที่]])</f>
        <v>22</v>
      </c>
      <c r="B25" s="8" t="s">
        <v>465</v>
      </c>
      <c r="C25" s="1" t="s">
        <v>263</v>
      </c>
      <c r="D25" s="1">
        <v>1</v>
      </c>
      <c r="E25" s="9" t="s">
        <v>466</v>
      </c>
    </row>
    <row r="26" spans="1:5" ht="29" customHeight="1">
      <c r="A26" s="7">
        <f>ROW()-ROW(I3d5[[#Headers],[ลำดับที่]])</f>
        <v>23</v>
      </c>
      <c r="B26" s="8" t="s">
        <v>516</v>
      </c>
      <c r="C26" s="1" t="s">
        <v>219</v>
      </c>
      <c r="D26" s="1">
        <v>1</v>
      </c>
      <c r="E26" s="9" t="s">
        <v>517</v>
      </c>
    </row>
    <row r="27" spans="1:5" ht="29" customHeight="1">
      <c r="A27" s="7">
        <f>ROW()-ROW(I3d5[[#Headers],[ลำดับที่]])</f>
        <v>24</v>
      </c>
      <c r="B27" s="8" t="s">
        <v>512</v>
      </c>
      <c r="C27" s="1" t="s">
        <v>65</v>
      </c>
      <c r="D27" s="1">
        <v>1</v>
      </c>
      <c r="E27" s="9" t="s">
        <v>513</v>
      </c>
    </row>
    <row r="28" spans="1:5" ht="29" customHeight="1">
      <c r="A28" s="7">
        <f>ROW()-ROW(I3d5[[#Headers],[ลำดับที่]])</f>
        <v>25</v>
      </c>
      <c r="B28" s="8" t="s">
        <v>531</v>
      </c>
      <c r="C28" s="1" t="s">
        <v>178</v>
      </c>
      <c r="D28" s="1">
        <v>1</v>
      </c>
      <c r="E28" s="9" t="s">
        <v>532</v>
      </c>
    </row>
    <row r="29" spans="1:5" ht="29" customHeight="1">
      <c r="A29" s="7">
        <f>ROW()-ROW(I3d5[[#Headers],[ลำดับที่]])</f>
        <v>26</v>
      </c>
      <c r="B29" s="8" t="s">
        <v>476</v>
      </c>
      <c r="C29" s="1" t="s">
        <v>477</v>
      </c>
      <c r="D29" s="1">
        <v>1</v>
      </c>
      <c r="E29" s="9" t="s">
        <v>478</v>
      </c>
    </row>
    <row r="30" spans="1:5" ht="29" customHeight="1">
      <c r="A30" s="7">
        <f>ROW()-ROW(I3d5[[#Headers],[ลำดับที่]])</f>
        <v>27</v>
      </c>
      <c r="B30" s="8" t="s">
        <v>541</v>
      </c>
      <c r="C30" s="1" t="s">
        <v>477</v>
      </c>
      <c r="D30" s="1">
        <v>1</v>
      </c>
      <c r="E30" s="9" t="s">
        <v>542</v>
      </c>
    </row>
    <row r="31" spans="1:5" ht="29" customHeight="1">
      <c r="A31" s="7">
        <f>ROW()-ROW(I3d5[[#Headers],[ลำดับที่]])</f>
        <v>28</v>
      </c>
      <c r="B31" s="8" t="s">
        <v>479</v>
      </c>
      <c r="C31" s="1" t="s">
        <v>38</v>
      </c>
      <c r="D31" s="1">
        <v>1</v>
      </c>
      <c r="E31" s="9" t="s">
        <v>480</v>
      </c>
    </row>
    <row r="32" spans="1:5" ht="29" customHeight="1">
      <c r="A32" s="7">
        <f>ROW()-ROW(I3d5[[#Headers],[ลำดับที่]])</f>
        <v>29</v>
      </c>
      <c r="B32" s="8" t="s">
        <v>483</v>
      </c>
      <c r="C32" s="1" t="s">
        <v>79</v>
      </c>
      <c r="D32" s="1">
        <v>5</v>
      </c>
      <c r="E32" s="9" t="s">
        <v>484</v>
      </c>
    </row>
    <row r="33" spans="1:5" ht="29" customHeight="1">
      <c r="A33" s="7">
        <f>ROW()-ROW(I3d5[[#Headers],[ลำดับที่]])</f>
        <v>30</v>
      </c>
      <c r="B33" s="8" t="s">
        <v>463</v>
      </c>
      <c r="C33" s="1" t="s">
        <v>59</v>
      </c>
      <c r="D33" s="1">
        <v>1</v>
      </c>
      <c r="E33" s="9" t="s">
        <v>464</v>
      </c>
    </row>
    <row r="34" spans="1:5" ht="29" customHeight="1">
      <c r="A34" s="7">
        <f>ROW()-ROW(I3d5[[#Headers],[ลำดับที่]])</f>
        <v>31</v>
      </c>
      <c r="B34" s="8" t="s">
        <v>481</v>
      </c>
      <c r="C34" s="1" t="s">
        <v>59</v>
      </c>
      <c r="D34" s="1">
        <v>2</v>
      </c>
      <c r="E34" s="9" t="s">
        <v>482</v>
      </c>
    </row>
    <row r="35" spans="1:5" ht="29" customHeight="1">
      <c r="A35" s="7">
        <f>ROW()-ROW(I3d5[[#Headers],[ลำดับที่]])</f>
        <v>32</v>
      </c>
      <c r="B35" s="8" t="s">
        <v>491</v>
      </c>
      <c r="C35" s="1" t="s">
        <v>59</v>
      </c>
      <c r="D35" s="1">
        <v>1</v>
      </c>
      <c r="E35" s="9" t="s">
        <v>492</v>
      </c>
    </row>
    <row r="36" spans="1:5" ht="29" customHeight="1">
      <c r="A36" s="7">
        <f>ROW()-ROW(I3d5[[#Headers],[ลำดับที่]])</f>
        <v>33</v>
      </c>
      <c r="B36" s="8" t="s">
        <v>533</v>
      </c>
      <c r="C36" s="1" t="s">
        <v>101</v>
      </c>
      <c r="D36" s="1">
        <v>1</v>
      </c>
      <c r="E36" s="12" t="s">
        <v>534</v>
      </c>
    </row>
    <row r="37" spans="1:5" ht="29" customHeight="1">
      <c r="A37" s="7">
        <f>ROW()-ROW(I3d5[[#Headers],[ลำดับที่]])</f>
        <v>34</v>
      </c>
      <c r="B37" s="8" t="s">
        <v>461</v>
      </c>
      <c r="C37" s="1" t="s">
        <v>130</v>
      </c>
      <c r="D37" s="1">
        <v>1</v>
      </c>
      <c r="E37" s="9" t="s">
        <v>462</v>
      </c>
    </row>
    <row r="38" spans="1:5" ht="29" customHeight="1">
      <c r="A38" s="7">
        <f>ROW()-ROW(I3d5[[#Headers],[ลำดับที่]])</f>
        <v>35</v>
      </c>
      <c r="B38" s="8" t="s">
        <v>323</v>
      </c>
      <c r="C38" s="1" t="s">
        <v>130</v>
      </c>
      <c r="D38" s="1">
        <v>1</v>
      </c>
      <c r="E38" s="9" t="s">
        <v>469</v>
      </c>
    </row>
    <row r="39" spans="1:5" ht="29" customHeight="1">
      <c r="A39" s="7">
        <f>ROW()-ROW(I3d5[[#Headers],[ลำดับที่]])</f>
        <v>36</v>
      </c>
      <c r="B39" s="8" t="s">
        <v>472</v>
      </c>
      <c r="C39" s="1" t="s">
        <v>130</v>
      </c>
      <c r="D39" s="1">
        <v>3</v>
      </c>
      <c r="E39" s="9" t="s">
        <v>473</v>
      </c>
    </row>
    <row r="40" spans="1:5" ht="29" customHeight="1">
      <c r="A40" s="7">
        <f>ROW()-ROW(I3d5[[#Headers],[ลำดับที่]])</f>
        <v>37</v>
      </c>
      <c r="B40" s="8" t="s">
        <v>514</v>
      </c>
      <c r="C40" s="1" t="s">
        <v>130</v>
      </c>
      <c r="D40" s="1">
        <v>1</v>
      </c>
      <c r="E40" s="9" t="s">
        <v>515</v>
      </c>
    </row>
    <row r="41" spans="1:5" ht="29" customHeight="1">
      <c r="A41" s="7">
        <f>ROW()-ROW(I3d5[[#Headers],[ลำดับที่]])</f>
        <v>38</v>
      </c>
      <c r="B41" s="8" t="s">
        <v>526</v>
      </c>
      <c r="C41" s="1" t="s">
        <v>527</v>
      </c>
      <c r="D41" s="1">
        <v>1</v>
      </c>
      <c r="E41" s="9" t="s">
        <v>528</v>
      </c>
    </row>
    <row r="42" spans="1:5" ht="29" customHeight="1">
      <c r="A42" s="7">
        <f>ROW()-ROW(I3d5[[#Headers],[ลำดับที่]])</f>
        <v>39</v>
      </c>
      <c r="B42" s="8" t="s">
        <v>496</v>
      </c>
      <c r="C42" s="1" t="s">
        <v>76</v>
      </c>
      <c r="D42" s="1">
        <v>1</v>
      </c>
      <c r="E42" s="9" t="s">
        <v>497</v>
      </c>
    </row>
    <row r="43" spans="1:5" ht="29" customHeight="1">
      <c r="A43" s="7">
        <f>ROW()-ROW(I3d5[[#Headers],[ลำดับที่]])</f>
        <v>40</v>
      </c>
      <c r="B43" s="8" t="s">
        <v>375</v>
      </c>
      <c r="C43" s="1" t="s">
        <v>159</v>
      </c>
      <c r="D43" s="1">
        <v>1</v>
      </c>
      <c r="E43" s="9" t="s">
        <v>490</v>
      </c>
    </row>
    <row r="44" spans="1:5" ht="29" customHeight="1">
      <c r="A44" s="7">
        <f>ROW()-ROW(I3d5[[#Headers],[ลำดับที่]])</f>
        <v>41</v>
      </c>
      <c r="B44" s="8" t="s">
        <v>510</v>
      </c>
      <c r="C44" s="1" t="s">
        <v>159</v>
      </c>
      <c r="D44" s="1">
        <v>1</v>
      </c>
      <c r="E44" s="9" t="s">
        <v>511</v>
      </c>
    </row>
    <row r="45" spans="1:5" ht="29" customHeight="1">
      <c r="A45" s="7">
        <f>ROW()-ROW(I3d5[[#Headers],[ลำดับที่]])</f>
        <v>42</v>
      </c>
      <c r="B45" s="8" t="s">
        <v>522</v>
      </c>
      <c r="C45" s="1" t="s">
        <v>138</v>
      </c>
      <c r="D45" s="1">
        <v>1</v>
      </c>
      <c r="E45" s="9" t="s">
        <v>523</v>
      </c>
    </row>
    <row r="46" spans="1:5" ht="29" customHeight="1">
      <c r="A46" s="7">
        <f>ROW()-ROW(I3d5[[#Headers],[ลำดับที่]])</f>
        <v>43</v>
      </c>
      <c r="B46" s="8" t="s">
        <v>529</v>
      </c>
      <c r="C46" s="1" t="s">
        <v>138</v>
      </c>
      <c r="D46" s="1">
        <v>1</v>
      </c>
      <c r="E46" s="9" t="s">
        <v>530</v>
      </c>
    </row>
    <row r="47" spans="1:5" ht="29" customHeight="1">
      <c r="C47" s="10" t="s">
        <v>8</v>
      </c>
      <c r="D47" s="11">
        <f>SUM(D4:D46)</f>
        <v>79</v>
      </c>
    </row>
    <row r="48" spans="1:5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1"/>
  <sheetViews>
    <sheetView workbookViewId="0">
      <selection activeCell="B42" sqref="B42:E42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6.6640625" bestFit="1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681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ROW()-ROW(I3d6[[#Headers],[ลำดับที่]])</f>
        <v>1</v>
      </c>
      <c r="B4" s="8" t="s">
        <v>567</v>
      </c>
      <c r="C4" s="1" t="s">
        <v>359</v>
      </c>
      <c r="D4" s="1">
        <v>1</v>
      </c>
      <c r="E4" s="9" t="s">
        <v>568</v>
      </c>
    </row>
    <row r="5" spans="1:5" ht="29" customHeight="1">
      <c r="A5" s="7">
        <f>ROW()-ROW(I3d6[[#Headers],[ลำดับที่]])</f>
        <v>2</v>
      </c>
      <c r="B5" s="8" t="s">
        <v>646</v>
      </c>
      <c r="C5" s="1" t="s">
        <v>154</v>
      </c>
      <c r="D5" s="1">
        <v>1</v>
      </c>
      <c r="E5" s="9" t="s">
        <v>647</v>
      </c>
    </row>
    <row r="6" spans="1:5" ht="29" customHeight="1">
      <c r="A6" s="7">
        <f>ROW()-ROW(I3d6[[#Headers],[ลำดับที่]])</f>
        <v>3</v>
      </c>
      <c r="B6" s="8" t="s">
        <v>672</v>
      </c>
      <c r="C6" s="1" t="s">
        <v>68</v>
      </c>
      <c r="D6" s="1">
        <v>9</v>
      </c>
      <c r="E6" s="9" t="s">
        <v>673</v>
      </c>
    </row>
    <row r="7" spans="1:5" ht="29" customHeight="1">
      <c r="A7" s="7">
        <f>ROW()-ROW(I3d6[[#Headers],[ลำดับที่]])</f>
        <v>4</v>
      </c>
      <c r="B7" s="8" t="s">
        <v>561</v>
      </c>
      <c r="C7" s="1" t="s">
        <v>33</v>
      </c>
      <c r="D7" s="1">
        <v>1</v>
      </c>
      <c r="E7" s="9" t="s">
        <v>562</v>
      </c>
    </row>
    <row r="8" spans="1:5" ht="29" customHeight="1">
      <c r="A8" s="7">
        <f>ROW()-ROW(I3d6[[#Headers],[ลำดับที่]])</f>
        <v>5</v>
      </c>
      <c r="B8" s="8" t="s">
        <v>361</v>
      </c>
      <c r="C8" s="1" t="s">
        <v>33</v>
      </c>
      <c r="D8" s="1">
        <v>1</v>
      </c>
      <c r="E8" s="9" t="s">
        <v>571</v>
      </c>
    </row>
    <row r="9" spans="1:5" ht="29" customHeight="1">
      <c r="A9" s="7">
        <f>ROW()-ROW(I3d6[[#Headers],[ลำดับที่]])</f>
        <v>6</v>
      </c>
      <c r="B9" s="8" t="s">
        <v>644</v>
      </c>
      <c r="C9" s="1" t="s">
        <v>33</v>
      </c>
      <c r="D9" s="1">
        <v>5</v>
      </c>
      <c r="E9" s="9" t="s">
        <v>645</v>
      </c>
    </row>
    <row r="10" spans="1:5" ht="29" customHeight="1">
      <c r="A10" s="7">
        <f>ROW()-ROW(I3d6[[#Headers],[ลำดับที่]])</f>
        <v>7</v>
      </c>
      <c r="B10" s="8" t="s">
        <v>548</v>
      </c>
      <c r="C10" s="1" t="s">
        <v>92</v>
      </c>
      <c r="D10" s="1">
        <v>2</v>
      </c>
      <c r="E10" s="9" t="s">
        <v>549</v>
      </c>
    </row>
    <row r="11" spans="1:5" ht="29" customHeight="1">
      <c r="A11" s="7">
        <f>ROW()-ROW(I3d6[[#Headers],[ลำดับที่]])</f>
        <v>8</v>
      </c>
      <c r="B11" s="8" t="s">
        <v>559</v>
      </c>
      <c r="C11" s="1" t="s">
        <v>92</v>
      </c>
      <c r="D11" s="1">
        <v>2</v>
      </c>
      <c r="E11" s="9" t="s">
        <v>560</v>
      </c>
    </row>
    <row r="12" spans="1:5" ht="29" customHeight="1">
      <c r="A12" s="7">
        <f>ROW()-ROW(I3d6[[#Headers],[ลำดับที่]])</f>
        <v>9</v>
      </c>
      <c r="B12" s="8" t="s">
        <v>597</v>
      </c>
      <c r="C12" s="1" t="s">
        <v>236</v>
      </c>
      <c r="D12" s="1">
        <v>2</v>
      </c>
      <c r="E12" s="9" t="s">
        <v>598</v>
      </c>
    </row>
    <row r="13" spans="1:5" ht="29" customHeight="1">
      <c r="A13" s="7">
        <f>ROW()-ROW(I3d6[[#Headers],[ลำดับที่]])</f>
        <v>10</v>
      </c>
      <c r="B13" s="8" t="s">
        <v>544</v>
      </c>
      <c r="C13" s="1" t="s">
        <v>118</v>
      </c>
      <c r="D13" s="1">
        <v>3</v>
      </c>
      <c r="E13" s="9" t="s">
        <v>545</v>
      </c>
    </row>
    <row r="14" spans="1:5" ht="29" customHeight="1">
      <c r="A14" s="7">
        <f>ROW()-ROW(I3d6[[#Headers],[ลำดับที่]])</f>
        <v>11</v>
      </c>
      <c r="B14" s="8" t="s">
        <v>565</v>
      </c>
      <c r="C14" s="1" t="s">
        <v>118</v>
      </c>
      <c r="D14" s="1">
        <v>1</v>
      </c>
      <c r="E14" s="9" t="s">
        <v>566</v>
      </c>
    </row>
    <row r="15" spans="1:5" ht="29" customHeight="1">
      <c r="A15" s="7">
        <f>ROW()-ROW(I3d6[[#Headers],[ลำดับที่]])</f>
        <v>12</v>
      </c>
      <c r="B15" s="8" t="s">
        <v>431</v>
      </c>
      <c r="C15" s="1" t="s">
        <v>118</v>
      </c>
      <c r="D15" s="1">
        <v>1</v>
      </c>
      <c r="E15" s="9" t="s">
        <v>592</v>
      </c>
    </row>
    <row r="16" spans="1:5" ht="29" customHeight="1">
      <c r="A16" s="7">
        <f>ROW()-ROW(I3d6[[#Headers],[ลำดับที่]])</f>
        <v>13</v>
      </c>
      <c r="B16" s="8" t="s">
        <v>604</v>
      </c>
      <c r="C16" s="1" t="s">
        <v>118</v>
      </c>
      <c r="D16" s="1">
        <v>1</v>
      </c>
      <c r="E16" s="9" t="s">
        <v>605</v>
      </c>
    </row>
    <row r="17" spans="1:5" ht="29" customHeight="1">
      <c r="A17" s="7">
        <f>ROW()-ROW(I3d6[[#Headers],[ลำดับที่]])</f>
        <v>14</v>
      </c>
      <c r="B17" s="8" t="s">
        <v>614</v>
      </c>
      <c r="C17" s="1" t="s">
        <v>118</v>
      </c>
      <c r="D17" s="1">
        <v>6</v>
      </c>
      <c r="E17" s="9" t="s">
        <v>615</v>
      </c>
    </row>
    <row r="18" spans="1:5" ht="29" customHeight="1">
      <c r="A18" s="7">
        <f>ROW()-ROW(I3d6[[#Headers],[ลำดับที่]])</f>
        <v>15</v>
      </c>
      <c r="B18" s="8" t="s">
        <v>103</v>
      </c>
      <c r="C18" s="1" t="s">
        <v>56</v>
      </c>
      <c r="D18" s="1">
        <v>2</v>
      </c>
      <c r="E18" s="9" t="s">
        <v>558</v>
      </c>
    </row>
    <row r="19" spans="1:5" ht="29" customHeight="1">
      <c r="A19" s="7">
        <f>ROW()-ROW(I3d6[[#Headers],[ลำดับที่]])</f>
        <v>16</v>
      </c>
      <c r="B19" s="8" t="s">
        <v>569</v>
      </c>
      <c r="C19" s="1" t="s">
        <v>56</v>
      </c>
      <c r="D19" s="1">
        <v>3</v>
      </c>
      <c r="E19" s="9" t="s">
        <v>570</v>
      </c>
    </row>
    <row r="20" spans="1:5" ht="29" customHeight="1">
      <c r="A20" s="7">
        <f>ROW()-ROW(I3d6[[#Headers],[ลำดับที่]])</f>
        <v>17</v>
      </c>
      <c r="B20" s="8" t="s">
        <v>595</v>
      </c>
      <c r="C20" s="1" t="s">
        <v>56</v>
      </c>
      <c r="D20" s="1">
        <v>1</v>
      </c>
      <c r="E20" s="9" t="s">
        <v>596</v>
      </c>
    </row>
    <row r="21" spans="1:5" ht="29" customHeight="1">
      <c r="A21" s="7">
        <f>ROW()-ROW(I3d6[[#Headers],[ลำดับที่]])</f>
        <v>18</v>
      </c>
      <c r="B21" s="8" t="s">
        <v>618</v>
      </c>
      <c r="C21" s="1" t="s">
        <v>56</v>
      </c>
      <c r="D21" s="1">
        <v>3</v>
      </c>
      <c r="E21" s="9" t="s">
        <v>619</v>
      </c>
    </row>
    <row r="22" spans="1:5" ht="29" customHeight="1">
      <c r="A22" s="7">
        <f>ROW()-ROW(I3d6[[#Headers],[ลำดับที่]])</f>
        <v>19</v>
      </c>
      <c r="B22" s="8" t="s">
        <v>381</v>
      </c>
      <c r="C22" s="1" t="s">
        <v>56</v>
      </c>
      <c r="D22" s="1">
        <v>1</v>
      </c>
      <c r="E22" s="9" t="s">
        <v>620</v>
      </c>
    </row>
    <row r="23" spans="1:5" ht="29" customHeight="1">
      <c r="A23" s="7">
        <f>ROW()-ROW(I3d6[[#Headers],[ลำดับที่]])</f>
        <v>20</v>
      </c>
      <c r="B23" s="8" t="s">
        <v>486</v>
      </c>
      <c r="C23" s="1" t="s">
        <v>56</v>
      </c>
      <c r="D23" s="1">
        <v>1</v>
      </c>
      <c r="E23" s="9" t="s">
        <v>623</v>
      </c>
    </row>
    <row r="24" spans="1:5" ht="29" customHeight="1">
      <c r="A24" s="7">
        <f>ROW()-ROW(I3d6[[#Headers],[ลำดับที่]])</f>
        <v>21</v>
      </c>
      <c r="B24" s="8" t="s">
        <v>630</v>
      </c>
      <c r="C24" s="1" t="s">
        <v>56</v>
      </c>
      <c r="D24" s="1">
        <v>2</v>
      </c>
      <c r="E24" s="9" t="s">
        <v>631</v>
      </c>
    </row>
    <row r="25" spans="1:5" ht="29" customHeight="1">
      <c r="A25" s="7">
        <f>ROW()-ROW(I3d6[[#Headers],[ลำดับที่]])</f>
        <v>22</v>
      </c>
      <c r="B25" s="8" t="s">
        <v>599</v>
      </c>
      <c r="C25" s="1" t="s">
        <v>151</v>
      </c>
      <c r="D25" s="1">
        <v>8</v>
      </c>
      <c r="E25" s="9" t="s">
        <v>600</v>
      </c>
    </row>
    <row r="26" spans="1:5" ht="29" customHeight="1">
      <c r="A26" s="7">
        <f>ROW()-ROW(I3d6[[#Headers],[ลำดับที่]])</f>
        <v>23</v>
      </c>
      <c r="B26" s="8" t="s">
        <v>601</v>
      </c>
      <c r="C26" s="1" t="s">
        <v>151</v>
      </c>
      <c r="D26" s="1">
        <v>8</v>
      </c>
      <c r="E26" s="9" t="s">
        <v>602</v>
      </c>
    </row>
    <row r="27" spans="1:5" ht="29" customHeight="1">
      <c r="A27" s="7">
        <f>ROW()-ROW(I3d6[[#Headers],[ลำดับที่]])</f>
        <v>24</v>
      </c>
      <c r="B27" s="8" t="s">
        <v>524</v>
      </c>
      <c r="C27" s="1" t="s">
        <v>151</v>
      </c>
      <c r="D27" s="1">
        <v>1</v>
      </c>
      <c r="E27" s="9" t="s">
        <v>603</v>
      </c>
    </row>
    <row r="28" spans="1:5" ht="29" customHeight="1">
      <c r="A28" s="7">
        <f>ROW()-ROW(I3d6[[#Headers],[ลำดับที่]])</f>
        <v>25</v>
      </c>
      <c r="B28" s="8" t="s">
        <v>445</v>
      </c>
      <c r="C28" s="1" t="s">
        <v>151</v>
      </c>
      <c r="D28" s="1">
        <v>1</v>
      </c>
      <c r="E28" s="9" t="s">
        <v>665</v>
      </c>
    </row>
    <row r="29" spans="1:5" ht="29" customHeight="1">
      <c r="A29" s="7">
        <f>ROW()-ROW(I3d6[[#Headers],[ลำดับที่]])</f>
        <v>26</v>
      </c>
      <c r="B29" s="8" t="s">
        <v>676</v>
      </c>
      <c r="C29" s="1" t="s">
        <v>151</v>
      </c>
      <c r="D29" s="1">
        <v>1</v>
      </c>
      <c r="E29" s="9" t="s">
        <v>677</v>
      </c>
    </row>
    <row r="30" spans="1:5" ht="29" customHeight="1">
      <c r="A30" s="7">
        <f>ROW()-ROW(I3d6[[#Headers],[ลำดับที่]])</f>
        <v>27</v>
      </c>
      <c r="B30" s="8" t="s">
        <v>606</v>
      </c>
      <c r="C30" s="1" t="s">
        <v>82</v>
      </c>
      <c r="D30" s="1">
        <v>1</v>
      </c>
      <c r="E30" s="9" t="s">
        <v>607</v>
      </c>
    </row>
    <row r="31" spans="1:5" ht="29" customHeight="1">
      <c r="A31" s="7">
        <f>ROW()-ROW(I3d6[[#Headers],[ลำดับที่]])</f>
        <v>28</v>
      </c>
      <c r="B31" s="8" t="s">
        <v>636</v>
      </c>
      <c r="C31" s="1" t="s">
        <v>82</v>
      </c>
      <c r="D31" s="1">
        <v>3</v>
      </c>
      <c r="E31" s="9" t="s">
        <v>637</v>
      </c>
    </row>
    <row r="32" spans="1:5" ht="29" customHeight="1">
      <c r="A32" s="7">
        <f>ROW()-ROW(I3d6[[#Headers],[ลำดับที่]])</f>
        <v>29</v>
      </c>
      <c r="B32" s="8" t="s">
        <v>666</v>
      </c>
      <c r="C32" s="1" t="s">
        <v>502</v>
      </c>
      <c r="D32" s="1">
        <v>1</v>
      </c>
      <c r="E32" s="9" t="s">
        <v>667</v>
      </c>
    </row>
    <row r="33" spans="1:5" ht="29" customHeight="1">
      <c r="A33" s="7">
        <f>ROW()-ROW(I3d6[[#Headers],[ลำดับที่]])</f>
        <v>30</v>
      </c>
      <c r="B33" s="8" t="s">
        <v>553</v>
      </c>
      <c r="C33" s="1" t="s">
        <v>148</v>
      </c>
      <c r="D33" s="1">
        <v>1</v>
      </c>
      <c r="E33" s="9" t="s">
        <v>554</v>
      </c>
    </row>
    <row r="34" spans="1:5" ht="29" customHeight="1">
      <c r="A34" s="7">
        <f>ROW()-ROW(I3d6[[#Headers],[ลำดับที่]])</f>
        <v>31</v>
      </c>
      <c r="B34" s="8" t="s">
        <v>590</v>
      </c>
      <c r="C34" s="1" t="s">
        <v>148</v>
      </c>
      <c r="D34" s="1">
        <v>1</v>
      </c>
      <c r="E34" s="9" t="s">
        <v>591</v>
      </c>
    </row>
    <row r="35" spans="1:5" ht="29" customHeight="1">
      <c r="A35" s="7">
        <f>ROW()-ROW(I3d6[[#Headers],[ลำดับที่]])</f>
        <v>32</v>
      </c>
      <c r="B35" s="8" t="s">
        <v>648</v>
      </c>
      <c r="C35" s="1" t="s">
        <v>148</v>
      </c>
      <c r="D35" s="1">
        <v>1</v>
      </c>
      <c r="E35" s="9" t="s">
        <v>649</v>
      </c>
    </row>
    <row r="36" spans="1:5" ht="29" customHeight="1">
      <c r="A36" s="7">
        <f>ROW()-ROW(I3d6[[#Headers],[ลำดับที่]])</f>
        <v>33</v>
      </c>
      <c r="B36" s="8" t="s">
        <v>572</v>
      </c>
      <c r="C36" s="1" t="s">
        <v>71</v>
      </c>
      <c r="D36" s="1">
        <v>1</v>
      </c>
      <c r="E36" s="9" t="s">
        <v>573</v>
      </c>
    </row>
    <row r="37" spans="1:5" ht="29" customHeight="1">
      <c r="A37" s="7">
        <f>ROW()-ROW(I3d6[[#Headers],[ลำดับที่]])</f>
        <v>34</v>
      </c>
      <c r="B37" s="8" t="s">
        <v>642</v>
      </c>
      <c r="C37" s="1" t="s">
        <v>263</v>
      </c>
      <c r="D37" s="1">
        <v>1</v>
      </c>
      <c r="E37" s="9" t="s">
        <v>643</v>
      </c>
    </row>
    <row r="38" spans="1:5" ht="29" customHeight="1">
      <c r="A38" s="7">
        <f>ROW()-ROW(I3d6[[#Headers],[ลำดับที่]])</f>
        <v>35</v>
      </c>
      <c r="B38" s="8" t="s">
        <v>660</v>
      </c>
      <c r="C38" s="1" t="s">
        <v>263</v>
      </c>
      <c r="D38" s="1">
        <v>1</v>
      </c>
      <c r="E38" s="9" t="s">
        <v>661</v>
      </c>
    </row>
    <row r="39" spans="1:5" ht="29" customHeight="1">
      <c r="A39" s="7">
        <f>ROW()-ROW(I3d6[[#Headers],[ลำดับที่]])</f>
        <v>36</v>
      </c>
      <c r="B39" s="8" t="s">
        <v>621</v>
      </c>
      <c r="C39" s="1" t="s">
        <v>201</v>
      </c>
      <c r="D39" s="1">
        <v>1</v>
      </c>
      <c r="E39" s="9" t="s">
        <v>622</v>
      </c>
    </row>
    <row r="40" spans="1:5" ht="29" customHeight="1">
      <c r="A40" s="7">
        <f>ROW()-ROW(I3d6[[#Headers],[ลำดับที่]])</f>
        <v>37</v>
      </c>
      <c r="B40" s="8" t="s">
        <v>580</v>
      </c>
      <c r="C40" s="1" t="s">
        <v>219</v>
      </c>
      <c r="D40" s="1">
        <v>1</v>
      </c>
      <c r="E40" s="9" t="s">
        <v>581</v>
      </c>
    </row>
    <row r="41" spans="1:5" ht="29" customHeight="1">
      <c r="A41" s="7">
        <f>ROW()-ROW(I3d6[[#Headers],[ลำดับที่]])</f>
        <v>38</v>
      </c>
      <c r="B41" s="8" t="s">
        <v>582</v>
      </c>
      <c r="C41" s="1" t="s">
        <v>219</v>
      </c>
      <c r="D41" s="1">
        <v>1</v>
      </c>
      <c r="E41" s="9" t="s">
        <v>583</v>
      </c>
    </row>
    <row r="42" spans="1:5" ht="29" customHeight="1">
      <c r="A42" s="7">
        <f>ROW()-ROW(I3d6[[#Headers],[ลำดับที่]])</f>
        <v>39</v>
      </c>
      <c r="B42" s="8" t="s">
        <v>586</v>
      </c>
      <c r="C42" s="1" t="s">
        <v>219</v>
      </c>
      <c r="D42" s="1">
        <v>1</v>
      </c>
      <c r="E42" s="9" t="s">
        <v>587</v>
      </c>
    </row>
    <row r="43" spans="1:5" ht="29" customHeight="1">
      <c r="A43" s="7">
        <f>ROW()-ROW(I3d6[[#Headers],[ลำดับที่]])</f>
        <v>40</v>
      </c>
      <c r="B43" s="8" t="s">
        <v>555</v>
      </c>
      <c r="C43" s="1" t="s">
        <v>252</v>
      </c>
      <c r="D43" s="1">
        <v>1</v>
      </c>
      <c r="E43" s="9" t="s">
        <v>556</v>
      </c>
    </row>
    <row r="44" spans="1:5" ht="29" customHeight="1">
      <c r="A44" s="7">
        <f>ROW()-ROW(I3d6[[#Headers],[ลำดับที่]])</f>
        <v>41</v>
      </c>
      <c r="B44" s="8" t="s">
        <v>612</v>
      </c>
      <c r="C44" s="1" t="s">
        <v>252</v>
      </c>
      <c r="D44" s="1">
        <v>17</v>
      </c>
      <c r="E44" s="9" t="s">
        <v>613</v>
      </c>
    </row>
    <row r="45" spans="1:5" ht="29" customHeight="1">
      <c r="A45" s="7">
        <f>ROW()-ROW(I3d6[[#Headers],[ลำดับที่]])</f>
        <v>42</v>
      </c>
      <c r="B45" s="8" t="s">
        <v>640</v>
      </c>
      <c r="C45" s="1" t="s">
        <v>252</v>
      </c>
      <c r="D45" s="1">
        <v>1</v>
      </c>
      <c r="E45" s="9" t="s">
        <v>641</v>
      </c>
    </row>
    <row r="46" spans="1:5" ht="29" customHeight="1">
      <c r="A46" s="7">
        <f>ROW()-ROW(I3d6[[#Headers],[ลำดับที่]])</f>
        <v>43</v>
      </c>
      <c r="B46" s="8" t="s">
        <v>678</v>
      </c>
      <c r="C46" s="1" t="s">
        <v>252</v>
      </c>
      <c r="D46" s="1">
        <v>1</v>
      </c>
      <c r="E46" s="9" t="s">
        <v>679</v>
      </c>
    </row>
    <row r="47" spans="1:5" ht="29" customHeight="1">
      <c r="A47" s="7">
        <f>ROW()-ROW(I3d6[[#Headers],[ลำดับที่]])</f>
        <v>44</v>
      </c>
      <c r="B47" s="8" t="s">
        <v>550</v>
      </c>
      <c r="C47" s="1" t="s">
        <v>551</v>
      </c>
      <c r="D47" s="1">
        <v>1</v>
      </c>
      <c r="E47" s="9" t="s">
        <v>552</v>
      </c>
    </row>
    <row r="48" spans="1:5" ht="29" customHeight="1">
      <c r="A48" s="7">
        <f>ROW()-ROW(I3d6[[#Headers],[ลำดับที่]])</f>
        <v>45</v>
      </c>
      <c r="B48" s="8" t="s">
        <v>546</v>
      </c>
      <c r="C48" s="1" t="s">
        <v>65</v>
      </c>
      <c r="D48" s="1">
        <v>3</v>
      </c>
      <c r="E48" s="9" t="s">
        <v>547</v>
      </c>
    </row>
    <row r="49" spans="1:5" ht="29" customHeight="1">
      <c r="A49" s="7">
        <f>ROW()-ROW(I3d6[[#Headers],[ลำดับที่]])</f>
        <v>46</v>
      </c>
      <c r="B49" s="8" t="s">
        <v>652</v>
      </c>
      <c r="C49" s="1" t="s">
        <v>65</v>
      </c>
      <c r="D49" s="1">
        <v>1</v>
      </c>
      <c r="E49" s="9" t="s">
        <v>653</v>
      </c>
    </row>
    <row r="50" spans="1:5" ht="31" customHeight="1">
      <c r="A50" s="7">
        <f>ROW()-ROW(I3d6[[#Headers],[ลำดับที่]])</f>
        <v>47</v>
      </c>
      <c r="B50" s="8" t="s">
        <v>588</v>
      </c>
      <c r="C50" s="1" t="s">
        <v>178</v>
      </c>
      <c r="D50" s="1">
        <v>1</v>
      </c>
      <c r="E50" s="9" t="s">
        <v>589</v>
      </c>
    </row>
    <row r="51" spans="1:5" ht="31" customHeight="1">
      <c r="A51" s="7">
        <f>ROW()-ROW(I3d6[[#Headers],[ลำดับที่]])</f>
        <v>48</v>
      </c>
      <c r="B51" s="8" t="s">
        <v>439</v>
      </c>
      <c r="C51" s="1" t="s">
        <v>178</v>
      </c>
      <c r="D51" s="1">
        <v>1</v>
      </c>
      <c r="E51" s="9" t="s">
        <v>680</v>
      </c>
    </row>
    <row r="52" spans="1:5" ht="31" customHeight="1">
      <c r="A52" s="7">
        <f>ROW()-ROW(I3d6[[#Headers],[ลำดับที่]])</f>
        <v>49</v>
      </c>
      <c r="B52" s="8" t="s">
        <v>610</v>
      </c>
      <c r="C52" s="1" t="s">
        <v>477</v>
      </c>
      <c r="D52" s="1">
        <v>2</v>
      </c>
      <c r="E52" s="9" t="s">
        <v>611</v>
      </c>
    </row>
    <row r="53" spans="1:5" ht="31" customHeight="1">
      <c r="A53" s="7">
        <f>ROW()-ROW(I3d6[[#Headers],[ลำดับที่]])</f>
        <v>50</v>
      </c>
      <c r="B53" s="8" t="s">
        <v>662</v>
      </c>
      <c r="C53" s="1" t="s">
        <v>121</v>
      </c>
      <c r="D53" s="1">
        <v>5</v>
      </c>
      <c r="E53" s="9" t="s">
        <v>663</v>
      </c>
    </row>
    <row r="54" spans="1:5" ht="31" customHeight="1">
      <c r="A54" s="7">
        <f>ROW()-ROW(I3d6[[#Headers],[ลำดับที่]])</f>
        <v>51</v>
      </c>
      <c r="B54" s="8" t="s">
        <v>654</v>
      </c>
      <c r="C54" s="1" t="s">
        <v>38</v>
      </c>
      <c r="D54" s="1">
        <v>2</v>
      </c>
      <c r="E54" s="9" t="s">
        <v>655</v>
      </c>
    </row>
    <row r="55" spans="1:5" ht="31" customHeight="1">
      <c r="A55" s="7">
        <f>ROW()-ROW(I3d6[[#Headers],[ลำดับที่]])</f>
        <v>52</v>
      </c>
      <c r="B55" s="8" t="s">
        <v>563</v>
      </c>
      <c r="C55" s="1" t="s">
        <v>62</v>
      </c>
      <c r="D55" s="1">
        <v>1</v>
      </c>
      <c r="E55" s="9" t="s">
        <v>564</v>
      </c>
    </row>
    <row r="56" spans="1:5" ht="31" customHeight="1">
      <c r="A56" s="7">
        <f>ROW()-ROW(I3d6[[#Headers],[ลำดับที่]])</f>
        <v>53</v>
      </c>
      <c r="B56" s="8" t="s">
        <v>584</v>
      </c>
      <c r="C56" s="1" t="s">
        <v>216</v>
      </c>
      <c r="D56" s="1">
        <v>1</v>
      </c>
      <c r="E56" s="9" t="s">
        <v>585</v>
      </c>
    </row>
    <row r="57" spans="1:5" ht="31" customHeight="1">
      <c r="A57" s="7">
        <f>ROW()-ROW(I3d6[[#Headers],[ลำดับที่]])</f>
        <v>54</v>
      </c>
      <c r="B57" s="8" t="s">
        <v>286</v>
      </c>
      <c r="C57" s="1" t="s">
        <v>287</v>
      </c>
      <c r="D57" s="1">
        <v>1</v>
      </c>
      <c r="E57" s="9" t="s">
        <v>664</v>
      </c>
    </row>
    <row r="58" spans="1:5" ht="31" customHeight="1">
      <c r="A58" s="7">
        <f>ROW()-ROW(I3d6[[#Headers],[ลำดับที่]])</f>
        <v>55</v>
      </c>
      <c r="B58" s="8" t="s">
        <v>576</v>
      </c>
      <c r="C58" s="1" t="s">
        <v>412</v>
      </c>
      <c r="D58" s="1">
        <v>2</v>
      </c>
      <c r="E58" s="9" t="s">
        <v>577</v>
      </c>
    </row>
    <row r="59" spans="1:5" ht="32" customHeight="1">
      <c r="A59" s="7">
        <f>ROW()-ROW(I3d6[[#Headers],[ลำดับที่]])</f>
        <v>56</v>
      </c>
      <c r="B59" s="8" t="s">
        <v>628</v>
      </c>
      <c r="C59" s="1" t="s">
        <v>412</v>
      </c>
      <c r="D59" s="1">
        <v>1</v>
      </c>
      <c r="E59" s="9" t="s">
        <v>629</v>
      </c>
    </row>
    <row r="60" spans="1:5" ht="32" customHeight="1">
      <c r="A60" s="7">
        <f>ROW()-ROW(I3d6[[#Headers],[ลำดับที่]])</f>
        <v>57</v>
      </c>
      <c r="B60" s="8" t="s">
        <v>674</v>
      </c>
      <c r="C60" s="1" t="s">
        <v>135</v>
      </c>
      <c r="D60" s="1">
        <v>1</v>
      </c>
      <c r="E60" s="12" t="s">
        <v>675</v>
      </c>
    </row>
    <row r="61" spans="1:5" ht="32" customHeight="1">
      <c r="A61" s="7">
        <f>ROW()-ROW(I3d6[[#Headers],[ลำดับที่]])</f>
        <v>58</v>
      </c>
      <c r="B61" s="8" t="s">
        <v>461</v>
      </c>
      <c r="C61" s="1" t="s">
        <v>130</v>
      </c>
      <c r="D61" s="1">
        <v>1</v>
      </c>
      <c r="E61" s="9" t="s">
        <v>557</v>
      </c>
    </row>
    <row r="62" spans="1:5" ht="32" customHeight="1">
      <c r="A62" s="7">
        <f>ROW()-ROW(I3d6[[#Headers],[ลำดับที่]])</f>
        <v>59</v>
      </c>
      <c r="B62" s="8" t="s">
        <v>574</v>
      </c>
      <c r="C62" s="1" t="s">
        <v>130</v>
      </c>
      <c r="D62" s="1">
        <v>1</v>
      </c>
      <c r="E62" s="9" t="s">
        <v>575</v>
      </c>
    </row>
    <row r="63" spans="1:5" ht="32" customHeight="1">
      <c r="A63" s="7">
        <f>ROW()-ROW(I3d6[[#Headers],[ลำดับที่]])</f>
        <v>60</v>
      </c>
      <c r="B63" s="8" t="s">
        <v>325</v>
      </c>
      <c r="C63" s="1" t="s">
        <v>130</v>
      </c>
      <c r="D63" s="1">
        <v>1</v>
      </c>
      <c r="E63" s="9" t="s">
        <v>616</v>
      </c>
    </row>
    <row r="64" spans="1:5" ht="32" customHeight="1">
      <c r="A64" s="7">
        <f>ROW()-ROW(I3d6[[#Headers],[ลำดับที่]])</f>
        <v>61</v>
      </c>
      <c r="B64" s="8" t="s">
        <v>632</v>
      </c>
      <c r="C64" s="1" t="s">
        <v>130</v>
      </c>
      <c r="D64" s="1">
        <v>1</v>
      </c>
      <c r="E64" s="9" t="s">
        <v>633</v>
      </c>
    </row>
    <row r="65" spans="1:5" ht="32" customHeight="1">
      <c r="A65" s="7">
        <f>ROW()-ROW(I3d6[[#Headers],[ลำดับที่]])</f>
        <v>62</v>
      </c>
      <c r="B65" s="8" t="s">
        <v>658</v>
      </c>
      <c r="C65" s="1" t="s">
        <v>130</v>
      </c>
      <c r="D65" s="1">
        <v>3</v>
      </c>
      <c r="E65" s="9" t="s">
        <v>659</v>
      </c>
    </row>
    <row r="66" spans="1:5" ht="32" customHeight="1">
      <c r="A66" s="7">
        <f>ROW()-ROW(I3d6[[#Headers],[ลำดับที่]])</f>
        <v>63</v>
      </c>
      <c r="B66" s="8" t="s">
        <v>578</v>
      </c>
      <c r="C66" s="1" t="s">
        <v>159</v>
      </c>
      <c r="D66" s="1">
        <v>1</v>
      </c>
      <c r="E66" s="9" t="s">
        <v>579</v>
      </c>
    </row>
    <row r="67" spans="1:5" ht="32" customHeight="1">
      <c r="A67" s="7">
        <f>ROW()-ROW(I3d6[[#Headers],[ลำดับที่]])</f>
        <v>64</v>
      </c>
      <c r="B67" s="8" t="s">
        <v>608</v>
      </c>
      <c r="C67" s="1" t="s">
        <v>159</v>
      </c>
      <c r="D67" s="1">
        <v>1</v>
      </c>
      <c r="E67" s="9" t="s">
        <v>609</v>
      </c>
    </row>
    <row r="68" spans="1:5" ht="33" customHeight="1">
      <c r="A68" s="7">
        <f>ROW()-ROW(I3d6[[#Headers],[ลำดับที่]])</f>
        <v>65</v>
      </c>
      <c r="B68" s="8" t="s">
        <v>626</v>
      </c>
      <c r="C68" s="1" t="s">
        <v>159</v>
      </c>
      <c r="D68" s="1">
        <v>1</v>
      </c>
      <c r="E68" s="9" t="s">
        <v>627</v>
      </c>
    </row>
    <row r="69" spans="1:5" ht="33" customHeight="1">
      <c r="A69" s="7">
        <f>ROW()-ROW(I3d6[[#Headers],[ลำดับที่]])</f>
        <v>66</v>
      </c>
      <c r="B69" s="8" t="s">
        <v>638</v>
      </c>
      <c r="C69" s="1" t="s">
        <v>159</v>
      </c>
      <c r="D69" s="1">
        <v>1</v>
      </c>
      <c r="E69" s="9" t="s">
        <v>639</v>
      </c>
    </row>
    <row r="70" spans="1:5" ht="33" customHeight="1">
      <c r="A70" s="7">
        <f>ROW()-ROW(I3d6[[#Headers],[ลำดับที่]])</f>
        <v>67</v>
      </c>
      <c r="B70" s="8" t="s">
        <v>650</v>
      </c>
      <c r="C70" s="1" t="s">
        <v>159</v>
      </c>
      <c r="D70" s="1">
        <v>1</v>
      </c>
      <c r="E70" s="9" t="s">
        <v>651</v>
      </c>
    </row>
    <row r="71" spans="1:5" ht="33" customHeight="1">
      <c r="A71" s="7">
        <f>ROW()-ROW(I3d6[[#Headers],[ลำดับที่]])</f>
        <v>68</v>
      </c>
      <c r="B71" s="8" t="s">
        <v>668</v>
      </c>
      <c r="C71" s="1" t="s">
        <v>95</v>
      </c>
      <c r="D71" s="1">
        <v>1</v>
      </c>
      <c r="E71" s="9" t="s">
        <v>669</v>
      </c>
    </row>
    <row r="72" spans="1:5" ht="33" customHeight="1">
      <c r="A72" s="7">
        <f>ROW()-ROW(I3d6[[#Headers],[ลำดับที่]])</f>
        <v>69</v>
      </c>
      <c r="B72" s="8" t="s">
        <v>670</v>
      </c>
      <c r="C72" s="1" t="s">
        <v>95</v>
      </c>
      <c r="D72" s="1">
        <v>3</v>
      </c>
      <c r="E72" s="9" t="s">
        <v>671</v>
      </c>
    </row>
    <row r="73" spans="1:5" ht="33" customHeight="1">
      <c r="A73" s="7">
        <f>ROW()-ROW(I3d6[[#Headers],[ลำดับที่]])</f>
        <v>70</v>
      </c>
      <c r="B73" s="8" t="s">
        <v>593</v>
      </c>
      <c r="C73" s="1" t="s">
        <v>138</v>
      </c>
      <c r="D73" s="1">
        <v>1</v>
      </c>
      <c r="E73" s="9" t="s">
        <v>594</v>
      </c>
    </row>
    <row r="74" spans="1:5" ht="33" customHeight="1">
      <c r="A74" s="7">
        <f>ROW()-ROW(I3d6[[#Headers],[ลำดับที่]])</f>
        <v>71</v>
      </c>
      <c r="B74" s="8" t="s">
        <v>624</v>
      </c>
      <c r="C74" s="1" t="s">
        <v>138</v>
      </c>
      <c r="D74" s="1">
        <v>1</v>
      </c>
      <c r="E74" s="9" t="s">
        <v>625</v>
      </c>
    </row>
    <row r="75" spans="1:5" ht="33" customHeight="1">
      <c r="A75" s="7">
        <f>ROW()-ROW(I3d6[[#Headers],[ลำดับที่]])</f>
        <v>72</v>
      </c>
      <c r="B75" s="8" t="s">
        <v>634</v>
      </c>
      <c r="C75" s="1" t="s">
        <v>138</v>
      </c>
      <c r="D75" s="1">
        <v>1</v>
      </c>
      <c r="E75" s="9" t="s">
        <v>635</v>
      </c>
    </row>
    <row r="76" spans="1:5" ht="33" customHeight="1">
      <c r="A76" s="7">
        <f>ROW()-ROW(I3d6[[#Headers],[ลำดับที่]])</f>
        <v>73</v>
      </c>
      <c r="B76" s="8" t="s">
        <v>656</v>
      </c>
      <c r="C76" s="1" t="s">
        <v>138</v>
      </c>
      <c r="D76" s="1">
        <v>3</v>
      </c>
      <c r="E76" s="9" t="s">
        <v>657</v>
      </c>
    </row>
    <row r="77" spans="1:5" ht="33" customHeight="1">
      <c r="A77" s="7">
        <f>ROW()-ROW(I3d6[[#Headers],[ลำดับที่]])</f>
        <v>74</v>
      </c>
      <c r="B77" s="8" t="s">
        <v>132</v>
      </c>
      <c r="C77" s="1" t="s">
        <v>111</v>
      </c>
      <c r="D77" s="1">
        <v>5</v>
      </c>
      <c r="E77" s="9" t="s">
        <v>617</v>
      </c>
    </row>
    <row r="78" spans="1:5" ht="33" customHeight="1">
      <c r="C78" s="10" t="s">
        <v>8</v>
      </c>
      <c r="D78" s="14">
        <f>SUM(D4:D77)</f>
        <v>153</v>
      </c>
    </row>
    <row r="79" spans="1:5" ht="33" customHeight="1"/>
    <row r="80" spans="1:5" ht="33" customHeight="1"/>
    <row r="81" ht="33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0"/>
  <sheetViews>
    <sheetView workbookViewId="0">
      <selection activeCell="C9" sqref="C9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6.6640625" bestFit="1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10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ROW()-ROW(I3d7[[#Headers],[ลำดับที่]])</f>
        <v>1</v>
      </c>
      <c r="B4" s="8" t="s">
        <v>697</v>
      </c>
      <c r="C4" s="1" t="s">
        <v>154</v>
      </c>
      <c r="D4" s="1">
        <v>1</v>
      </c>
      <c r="E4" s="9" t="s">
        <v>698</v>
      </c>
    </row>
    <row r="5" spans="1:5" ht="29" customHeight="1">
      <c r="A5" s="7">
        <f>ROW()-ROW(I3d7[[#Headers],[ลำดับที่]])</f>
        <v>2</v>
      </c>
      <c r="B5" s="8" t="s">
        <v>722</v>
      </c>
      <c r="C5" s="1" t="s">
        <v>98</v>
      </c>
      <c r="D5" s="1">
        <v>2</v>
      </c>
      <c r="E5" s="9" t="s">
        <v>723</v>
      </c>
    </row>
    <row r="6" spans="1:5" ht="29" customHeight="1">
      <c r="A6" s="7">
        <f>ROW()-ROW(I3d7[[#Headers],[ลำดับที่]])</f>
        <v>3</v>
      </c>
      <c r="B6" s="8" t="s">
        <v>706</v>
      </c>
      <c r="C6" s="1" t="s">
        <v>459</v>
      </c>
      <c r="D6" s="1">
        <v>1</v>
      </c>
      <c r="E6" s="9" t="s">
        <v>707</v>
      </c>
    </row>
    <row r="7" spans="1:5" ht="29" customHeight="1">
      <c r="A7" s="7">
        <f>ROW()-ROW(I3d7[[#Headers],[ลำดับที่]])</f>
        <v>4</v>
      </c>
      <c r="B7" s="8" t="s">
        <v>682</v>
      </c>
      <c r="C7" s="1" t="s">
        <v>92</v>
      </c>
      <c r="D7" s="1">
        <v>1</v>
      </c>
      <c r="E7" s="9" t="s">
        <v>683</v>
      </c>
    </row>
    <row r="8" spans="1:5" ht="29" customHeight="1">
      <c r="A8" s="7">
        <f>ROW()-ROW(I3d7[[#Headers],[ลำดับที่]])</f>
        <v>5</v>
      </c>
      <c r="B8" s="8" t="s">
        <v>690</v>
      </c>
      <c r="C8" s="1" t="s">
        <v>92</v>
      </c>
      <c r="D8" s="1">
        <v>1</v>
      </c>
      <c r="E8" s="9" t="s">
        <v>691</v>
      </c>
    </row>
    <row r="9" spans="1:5" ht="29" customHeight="1">
      <c r="A9" s="7">
        <f>ROW()-ROW(I3d7[[#Headers],[ลำดับที่]])</f>
        <v>6</v>
      </c>
      <c r="B9" s="8" t="s">
        <v>699</v>
      </c>
      <c r="C9" s="1" t="s">
        <v>56</v>
      </c>
      <c r="D9" s="1">
        <v>1</v>
      </c>
      <c r="E9" s="9" t="s">
        <v>700</v>
      </c>
    </row>
    <row r="10" spans="1:5" ht="29" customHeight="1">
      <c r="A10" s="7">
        <f>ROW()-ROW(I3d7[[#Headers],[ลำดับที่]])</f>
        <v>7</v>
      </c>
      <c r="B10" s="8" t="s">
        <v>701</v>
      </c>
      <c r="C10" s="1" t="s">
        <v>56</v>
      </c>
      <c r="D10" s="1">
        <v>1</v>
      </c>
      <c r="E10" s="9" t="s">
        <v>702</v>
      </c>
    </row>
    <row r="11" spans="1:5" ht="29" customHeight="1">
      <c r="A11" s="7">
        <f>ROW()-ROW(I3d7[[#Headers],[ลำดับที่]])</f>
        <v>8</v>
      </c>
      <c r="B11" s="8" t="s">
        <v>703</v>
      </c>
      <c r="C11" s="1" t="s">
        <v>56</v>
      </c>
      <c r="D11" s="1">
        <v>1</v>
      </c>
      <c r="E11" s="9" t="s">
        <v>704</v>
      </c>
    </row>
    <row r="12" spans="1:5" ht="29" customHeight="1">
      <c r="A12" s="7">
        <f>ROW()-ROW(I3d7[[#Headers],[ลำดับที่]])</f>
        <v>9</v>
      </c>
      <c r="B12" s="8" t="s">
        <v>708</v>
      </c>
      <c r="C12" s="1" t="s">
        <v>56</v>
      </c>
      <c r="D12" s="1">
        <v>1</v>
      </c>
      <c r="E12" s="9" t="s">
        <v>709</v>
      </c>
    </row>
    <row r="13" spans="1:5" ht="29" customHeight="1">
      <c r="A13" s="7">
        <f>ROW()-ROW(I3d7[[#Headers],[ลำดับที่]])</f>
        <v>10</v>
      </c>
      <c r="B13" s="8" t="s">
        <v>742</v>
      </c>
      <c r="C13" s="1" t="s">
        <v>56</v>
      </c>
      <c r="D13" s="1">
        <v>1</v>
      </c>
      <c r="E13" s="9" t="s">
        <v>743</v>
      </c>
    </row>
    <row r="14" spans="1:5" ht="29" customHeight="1">
      <c r="A14" s="7">
        <f>ROW()-ROW(I3d7[[#Headers],[ลำดับที่]])</f>
        <v>11</v>
      </c>
      <c r="B14" s="8" t="s">
        <v>710</v>
      </c>
      <c r="C14" s="1" t="s">
        <v>148</v>
      </c>
      <c r="D14" s="1">
        <v>2</v>
      </c>
      <c r="E14" s="9" t="s">
        <v>711</v>
      </c>
    </row>
    <row r="15" spans="1:5" ht="29" customHeight="1">
      <c r="A15" s="7">
        <f>ROW()-ROW(I3d7[[#Headers],[ลำดับที่]])</f>
        <v>12</v>
      </c>
      <c r="B15" s="8" t="s">
        <v>695</v>
      </c>
      <c r="C15" s="1" t="s">
        <v>71</v>
      </c>
      <c r="D15" s="1">
        <v>3</v>
      </c>
      <c r="E15" s="9" t="s">
        <v>696</v>
      </c>
    </row>
    <row r="16" spans="1:5" ht="29" customHeight="1">
      <c r="A16" s="7">
        <f>ROW()-ROW(I3d7[[#Headers],[ลำดับที่]])</f>
        <v>13</v>
      </c>
      <c r="B16" s="8" t="s">
        <v>716</v>
      </c>
      <c r="C16" s="1" t="s">
        <v>106</v>
      </c>
      <c r="D16" s="1">
        <v>1</v>
      </c>
      <c r="E16" s="9" t="s">
        <v>717</v>
      </c>
    </row>
    <row r="17" spans="1:5" ht="29" customHeight="1">
      <c r="A17" s="7">
        <f>ROW()-ROW(I3d7[[#Headers],[ลำดับที่]])</f>
        <v>14</v>
      </c>
      <c r="B17" s="8" t="s">
        <v>421</v>
      </c>
      <c r="C17" s="1" t="s">
        <v>127</v>
      </c>
      <c r="D17" s="1">
        <v>2</v>
      </c>
      <c r="E17" s="9" t="s">
        <v>737</v>
      </c>
    </row>
    <row r="18" spans="1:5" ht="29" customHeight="1">
      <c r="A18" s="7">
        <f>ROW()-ROW(I3d7[[#Headers],[ลำดับที่]])</f>
        <v>15</v>
      </c>
      <c r="B18" s="8" t="s">
        <v>688</v>
      </c>
      <c r="C18" s="1" t="s">
        <v>311</v>
      </c>
      <c r="D18" s="1">
        <v>1</v>
      </c>
      <c r="E18" s="9" t="s">
        <v>689</v>
      </c>
    </row>
    <row r="19" spans="1:5" ht="29" customHeight="1">
      <c r="A19" s="7">
        <f>ROW()-ROW(I3d7[[#Headers],[ลำดับที่]])</f>
        <v>16</v>
      </c>
      <c r="B19" s="8" t="s">
        <v>363</v>
      </c>
      <c r="C19" s="1" t="s">
        <v>335</v>
      </c>
      <c r="D19" s="1">
        <v>1</v>
      </c>
      <c r="E19" s="9" t="s">
        <v>692</v>
      </c>
    </row>
    <row r="20" spans="1:5" ht="29" customHeight="1">
      <c r="A20" s="7">
        <f>ROW()-ROW(I3d7[[#Headers],[ลำดับที่]])</f>
        <v>17</v>
      </c>
      <c r="B20" s="8" t="s">
        <v>712</v>
      </c>
      <c r="C20" s="1" t="s">
        <v>335</v>
      </c>
      <c r="D20" s="1">
        <v>1</v>
      </c>
      <c r="E20" s="9" t="s">
        <v>713</v>
      </c>
    </row>
    <row r="21" spans="1:5" ht="29" customHeight="1">
      <c r="A21" s="7">
        <f>ROW()-ROW(I3d7[[#Headers],[ลำดับที่]])</f>
        <v>18</v>
      </c>
      <c r="B21" s="8" t="s">
        <v>738</v>
      </c>
      <c r="C21" s="1" t="s">
        <v>551</v>
      </c>
      <c r="D21" s="1">
        <v>2</v>
      </c>
      <c r="E21" s="9" t="s">
        <v>739</v>
      </c>
    </row>
    <row r="22" spans="1:5" ht="29" customHeight="1">
      <c r="A22" s="7">
        <f>ROW()-ROW(I3d7[[#Headers],[ลำดับที่]])</f>
        <v>19</v>
      </c>
      <c r="B22" s="8" t="s">
        <v>693</v>
      </c>
      <c r="C22" s="1" t="s">
        <v>477</v>
      </c>
      <c r="D22" s="1">
        <v>1</v>
      </c>
      <c r="E22" s="9" t="s">
        <v>694</v>
      </c>
    </row>
    <row r="23" spans="1:5" ht="29" customHeight="1">
      <c r="A23" s="7">
        <f>ROW()-ROW(I3d7[[#Headers],[ลำดับที่]])</f>
        <v>20</v>
      </c>
      <c r="B23" s="8" t="s">
        <v>714</v>
      </c>
      <c r="C23" s="1" t="s">
        <v>477</v>
      </c>
      <c r="D23" s="1">
        <v>1</v>
      </c>
      <c r="E23" s="9" t="s">
        <v>715</v>
      </c>
    </row>
    <row r="24" spans="1:5" ht="29" customHeight="1">
      <c r="A24" s="7">
        <f>ROW()-ROW(I3d7[[#Headers],[ลำดับที่]])</f>
        <v>21</v>
      </c>
      <c r="B24" s="8" t="s">
        <v>744</v>
      </c>
      <c r="C24" s="1" t="s">
        <v>121</v>
      </c>
      <c r="D24" s="1">
        <v>1</v>
      </c>
      <c r="E24" s="12" t="s">
        <v>745</v>
      </c>
    </row>
    <row r="25" spans="1:5" ht="29" customHeight="1">
      <c r="A25" s="7">
        <f>ROW()-ROW(I3d7[[#Headers],[ลำดับที่]])</f>
        <v>22</v>
      </c>
      <c r="B25" s="8" t="s">
        <v>730</v>
      </c>
      <c r="C25" s="1" t="s">
        <v>121</v>
      </c>
      <c r="D25" s="1">
        <v>5</v>
      </c>
      <c r="E25" s="9" t="s">
        <v>731</v>
      </c>
    </row>
    <row r="26" spans="1:5" ht="29" customHeight="1">
      <c r="A26" s="7">
        <f>ROW()-ROW(I3d7[[#Headers],[ลำดับที่]])</f>
        <v>23</v>
      </c>
      <c r="B26" s="8" t="s">
        <v>211</v>
      </c>
      <c r="C26" s="1" t="s">
        <v>62</v>
      </c>
      <c r="D26" s="1">
        <v>1</v>
      </c>
      <c r="E26" s="9" t="s">
        <v>705</v>
      </c>
    </row>
    <row r="27" spans="1:5" ht="29" customHeight="1">
      <c r="A27" s="7">
        <f>ROW()-ROW(I3d7[[#Headers],[ลำดับที่]])</f>
        <v>24</v>
      </c>
      <c r="B27" s="8" t="s">
        <v>718</v>
      </c>
      <c r="C27" s="1" t="s">
        <v>216</v>
      </c>
      <c r="D27" s="1">
        <v>1</v>
      </c>
      <c r="E27" s="9" t="s">
        <v>719</v>
      </c>
    </row>
    <row r="28" spans="1:5" ht="29" customHeight="1">
      <c r="A28" s="7">
        <f>ROW()-ROW(I3d7[[#Headers],[ลำดับที่]])</f>
        <v>25</v>
      </c>
      <c r="B28" s="8" t="s">
        <v>740</v>
      </c>
      <c r="C28" s="1" t="s">
        <v>216</v>
      </c>
      <c r="D28" s="1">
        <v>4</v>
      </c>
      <c r="E28" s="12" t="s">
        <v>741</v>
      </c>
    </row>
    <row r="29" spans="1:5" ht="29" customHeight="1">
      <c r="A29" s="7">
        <f>ROW()-ROW(I3d7[[#Headers],[ลำดับที่]])</f>
        <v>26</v>
      </c>
      <c r="B29" s="8" t="s">
        <v>726</v>
      </c>
      <c r="C29" s="1" t="s">
        <v>124</v>
      </c>
      <c r="D29" s="1">
        <v>1</v>
      </c>
      <c r="E29" s="9" t="s">
        <v>727</v>
      </c>
    </row>
    <row r="30" spans="1:5" ht="29" customHeight="1">
      <c r="A30" s="7">
        <f>ROW()-ROW(I3d7[[#Headers],[ลำดับที่]])</f>
        <v>27</v>
      </c>
      <c r="B30" s="8" t="s">
        <v>686</v>
      </c>
      <c r="C30" s="1" t="s">
        <v>79</v>
      </c>
      <c r="D30" s="1">
        <v>1</v>
      </c>
      <c r="E30" s="9" t="s">
        <v>687</v>
      </c>
    </row>
    <row r="31" spans="1:5" ht="29" customHeight="1">
      <c r="A31" s="7">
        <f>ROW()-ROW(I3d7[[#Headers],[ลำดับที่]])</f>
        <v>28</v>
      </c>
      <c r="B31" s="8" t="s">
        <v>720</v>
      </c>
      <c r="C31" s="1" t="s">
        <v>130</v>
      </c>
      <c r="D31" s="1">
        <v>1</v>
      </c>
      <c r="E31" s="12" t="s">
        <v>721</v>
      </c>
    </row>
    <row r="32" spans="1:5" ht="29" customHeight="1">
      <c r="A32" s="7">
        <f>ROW()-ROW(I3d7[[#Headers],[ลำดับที่]])</f>
        <v>29</v>
      </c>
      <c r="B32" s="8" t="s">
        <v>724</v>
      </c>
      <c r="C32" s="1" t="s">
        <v>76</v>
      </c>
      <c r="D32" s="1">
        <v>1</v>
      </c>
      <c r="E32" s="9" t="s">
        <v>725</v>
      </c>
    </row>
    <row r="33" spans="1:5" ht="29" customHeight="1">
      <c r="A33" s="7">
        <f>ROW()-ROW(I3d7[[#Headers],[ลำดับที่]])</f>
        <v>30</v>
      </c>
      <c r="B33" s="8" t="s">
        <v>734</v>
      </c>
      <c r="C33" s="1" t="s">
        <v>735</v>
      </c>
      <c r="D33" s="1">
        <v>2</v>
      </c>
      <c r="E33" s="9" t="s">
        <v>736</v>
      </c>
    </row>
    <row r="34" spans="1:5" ht="29" customHeight="1">
      <c r="A34" s="7">
        <f>ROW()-ROW(I3d7[[#Headers],[ลำดับที่]])</f>
        <v>31</v>
      </c>
      <c r="B34" s="8" t="s">
        <v>213</v>
      </c>
      <c r="C34" s="1" t="s">
        <v>95</v>
      </c>
      <c r="D34" s="1">
        <v>2</v>
      </c>
      <c r="E34" s="9" t="s">
        <v>732</v>
      </c>
    </row>
    <row r="35" spans="1:5" ht="29" customHeight="1">
      <c r="A35" s="7">
        <f>ROW()-ROW(I3d7[[#Headers],[ลำดับที่]])</f>
        <v>32</v>
      </c>
      <c r="B35" s="8" t="s">
        <v>249</v>
      </c>
      <c r="C35" s="1" t="s">
        <v>95</v>
      </c>
      <c r="D35" s="1">
        <v>1</v>
      </c>
      <c r="E35" s="9" t="s">
        <v>733</v>
      </c>
    </row>
    <row r="36" spans="1:5" ht="29" customHeight="1">
      <c r="A36" s="7">
        <f>ROW()-ROW(I3d7[[#Headers],[ลำดับที่]])</f>
        <v>33</v>
      </c>
      <c r="B36" s="8" t="s">
        <v>684</v>
      </c>
      <c r="C36" s="1" t="s">
        <v>138</v>
      </c>
      <c r="D36" s="1">
        <v>1</v>
      </c>
      <c r="E36" s="9" t="s">
        <v>685</v>
      </c>
    </row>
    <row r="37" spans="1:5" ht="29" customHeight="1">
      <c r="A37" s="7">
        <f>ROW()-ROW(I3d7[[#Headers],[ลำดับที่]])</f>
        <v>34</v>
      </c>
      <c r="B37" s="8" t="s">
        <v>728</v>
      </c>
      <c r="C37" s="1" t="s">
        <v>138</v>
      </c>
      <c r="D37" s="1">
        <v>1</v>
      </c>
      <c r="E37" s="9" t="s">
        <v>729</v>
      </c>
    </row>
    <row r="38" spans="1:5" ht="29" customHeight="1">
      <c r="C38" s="10" t="s">
        <v>8</v>
      </c>
      <c r="D38" s="14">
        <f>SUM(D4:D37)</f>
        <v>49</v>
      </c>
    </row>
    <row r="39" spans="1:5" ht="29" customHeight="1"/>
    <row r="40" spans="1:5" ht="29" customHeight="1"/>
    <row r="41" spans="1:5" ht="29" customHeight="1"/>
    <row r="42" spans="1:5" ht="29" customHeight="1"/>
    <row r="43" spans="1:5" ht="29" customHeight="1"/>
    <row r="44" spans="1:5" ht="29" customHeight="1"/>
    <row r="45" spans="1:5" ht="29" customHeight="1"/>
    <row r="46" spans="1:5" ht="29" customHeight="1"/>
    <row r="47" spans="1:5" ht="29" customHeight="1"/>
    <row r="48" spans="1:5" ht="29" customHeight="1"/>
    <row r="49" ht="29" customHeight="1"/>
    <row r="50" ht="29" customHeight="1"/>
    <row r="51" ht="29" customHeight="1"/>
    <row r="52" ht="29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4"/>
  <sheetViews>
    <sheetView workbookViewId="0">
      <selection activeCell="B3" sqref="B3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751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ROW()-ROW(I3d8[[#Headers],[ลำดับที่]])</f>
        <v>1</v>
      </c>
      <c r="B4" s="8" t="s">
        <v>458</v>
      </c>
      <c r="C4" s="1" t="s">
        <v>459</v>
      </c>
      <c r="D4" s="1">
        <v>4</v>
      </c>
      <c r="E4" s="9" t="s">
        <v>748</v>
      </c>
    </row>
    <row r="5" spans="1:5" ht="29" customHeight="1">
      <c r="A5" s="7">
        <f>ROW()-ROW(I3d8[[#Headers],[ลำดับที่]])</f>
        <v>2</v>
      </c>
      <c r="B5" s="8" t="s">
        <v>223</v>
      </c>
      <c r="C5" s="1" t="s">
        <v>56</v>
      </c>
      <c r="D5" s="1">
        <v>18</v>
      </c>
      <c r="E5" s="9" t="s">
        <v>750</v>
      </c>
    </row>
    <row r="6" spans="1:5" ht="29" customHeight="1">
      <c r="A6" s="7">
        <f>ROW()-ROW(I3d8[[#Headers],[ลำดับที่]])</f>
        <v>3</v>
      </c>
      <c r="B6" s="8" t="s">
        <v>746</v>
      </c>
      <c r="C6" s="1" t="s">
        <v>59</v>
      </c>
      <c r="D6" s="1">
        <v>4</v>
      </c>
      <c r="E6" s="9" t="s">
        <v>747</v>
      </c>
    </row>
    <row r="7" spans="1:5" ht="29" customHeight="1">
      <c r="A7" s="7">
        <f>ROW()-ROW(I3d8[[#Headers],[ลำดับที่]])</f>
        <v>4</v>
      </c>
      <c r="B7" s="8" t="s">
        <v>246</v>
      </c>
      <c r="C7" s="1" t="s">
        <v>247</v>
      </c>
      <c r="D7" s="1">
        <v>22</v>
      </c>
      <c r="E7" s="9" t="s">
        <v>749</v>
      </c>
    </row>
    <row r="8" spans="1:5" ht="29" customHeight="1">
      <c r="C8" s="10" t="s">
        <v>8</v>
      </c>
      <c r="D8" s="11">
        <f>SUM(D4:D7)</f>
        <v>48</v>
      </c>
    </row>
    <row r="9" spans="1:5" ht="29" customHeight="1"/>
    <row r="10" spans="1:5" ht="29" customHeight="1"/>
    <row r="11" spans="1:5" ht="29" customHeight="1"/>
    <row r="12" spans="1:5" ht="29" customHeight="1"/>
    <row r="13" spans="1:5" ht="29" customHeight="1"/>
    <row r="14" spans="1:5" ht="29" customHeight="1"/>
    <row r="15" spans="1:5" ht="29" customHeight="1"/>
    <row r="16" spans="1:5" ht="29" customHeight="1"/>
    <row r="17" ht="29" customHeight="1"/>
    <row r="18" ht="29" customHeight="1"/>
    <row r="19" ht="29" customHeight="1"/>
    <row r="20" ht="29" customHeight="1"/>
    <row r="21" ht="29" customHeight="1"/>
    <row r="22" ht="29" customHeight="1"/>
    <row r="23" ht="29" customHeight="1"/>
    <row r="24" ht="29" customHeight="1"/>
    <row r="25" ht="29" customHeight="1"/>
    <row r="26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00FA-7012-DD46-8F2D-71E6E81E91E9}">
  <dimension ref="A1:E79"/>
  <sheetViews>
    <sheetView tabSelected="1" zoomScaleNormal="100" workbookViewId="0">
      <selection activeCell="C6" sqref="C6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870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ROW()-ROW(I3d828[[#Headers],[ลำดับที่]])</f>
        <v>1</v>
      </c>
      <c r="B4" s="8" t="s">
        <v>753</v>
      </c>
      <c r="C4" s="1" t="s">
        <v>154</v>
      </c>
      <c r="D4" s="1">
        <v>1</v>
      </c>
      <c r="E4" s="9" t="s">
        <v>754</v>
      </c>
    </row>
    <row r="5" spans="1:5" ht="29" customHeight="1">
      <c r="A5" s="7">
        <f>ROW()-ROW(I3d828[[#Headers],[ลำดับที่]])</f>
        <v>2</v>
      </c>
      <c r="B5" s="8" t="s">
        <v>811</v>
      </c>
      <c r="C5" s="1" t="s">
        <v>154</v>
      </c>
      <c r="D5" s="1">
        <v>1</v>
      </c>
      <c r="E5" s="9" t="s">
        <v>812</v>
      </c>
    </row>
    <row r="6" spans="1:5" ht="29" customHeight="1">
      <c r="A6" s="7">
        <f>ROW()-ROW(I3d828[[#Headers],[ลำดับที่]])</f>
        <v>3</v>
      </c>
      <c r="B6" s="8" t="s">
        <v>821</v>
      </c>
      <c r="C6" s="1" t="s">
        <v>154</v>
      </c>
      <c r="D6" s="1">
        <v>1</v>
      </c>
      <c r="E6" s="9" t="s">
        <v>822</v>
      </c>
    </row>
    <row r="7" spans="1:5" ht="29" customHeight="1">
      <c r="A7" s="7">
        <f>ROW()-ROW(I3d828[[#Headers],[ลำดับที่]])</f>
        <v>4</v>
      </c>
      <c r="B7" s="8" t="s">
        <v>853</v>
      </c>
      <c r="C7" s="1" t="s">
        <v>154</v>
      </c>
      <c r="D7" s="1">
        <v>2</v>
      </c>
      <c r="E7" s="9" t="s">
        <v>854</v>
      </c>
    </row>
    <row r="8" spans="1:5" ht="29" customHeight="1">
      <c r="A8" s="7">
        <f>ROW()-ROW(I3d828[[#Headers],[ลำดับที่]])</f>
        <v>5</v>
      </c>
      <c r="B8" s="8" t="s">
        <v>859</v>
      </c>
      <c r="C8" s="1" t="s">
        <v>68</v>
      </c>
      <c r="D8" s="1">
        <v>1</v>
      </c>
      <c r="E8" s="9" t="s">
        <v>860</v>
      </c>
    </row>
    <row r="9" spans="1:5" ht="29" customHeight="1">
      <c r="A9" s="7">
        <f>ROW()-ROW(I3d828[[#Headers],[ลำดับที่]])</f>
        <v>6</v>
      </c>
      <c r="B9" s="8" t="s">
        <v>766</v>
      </c>
      <c r="C9" s="1" t="s">
        <v>98</v>
      </c>
      <c r="D9" s="1">
        <v>1</v>
      </c>
      <c r="E9" s="9" t="s">
        <v>767</v>
      </c>
    </row>
    <row r="10" spans="1:5" ht="29" customHeight="1">
      <c r="A10" s="7">
        <f>ROW()-ROW(I3d828[[#Headers],[ลำดับที่]])</f>
        <v>7</v>
      </c>
      <c r="B10" s="8" t="s">
        <v>836</v>
      </c>
      <c r="C10" s="1" t="s">
        <v>33</v>
      </c>
      <c r="D10" s="1">
        <v>3</v>
      </c>
      <c r="E10" s="9" t="s">
        <v>837</v>
      </c>
    </row>
    <row r="11" spans="1:5" ht="29" customHeight="1">
      <c r="A11" s="7">
        <f>ROW()-ROW(I3d828[[#Headers],[ลำดับที่]])</f>
        <v>8</v>
      </c>
      <c r="B11" s="8" t="s">
        <v>847</v>
      </c>
      <c r="C11" s="1" t="s">
        <v>236</v>
      </c>
      <c r="D11" s="1">
        <v>1</v>
      </c>
      <c r="E11" s="9" t="s">
        <v>848</v>
      </c>
    </row>
    <row r="12" spans="1:5" ht="29" customHeight="1">
      <c r="A12" s="7">
        <f>ROW()-ROW(I3d828[[#Headers],[ลำดับที่]])</f>
        <v>9</v>
      </c>
      <c r="B12" s="8" t="s">
        <v>861</v>
      </c>
      <c r="C12" s="1" t="s">
        <v>236</v>
      </c>
      <c r="D12" s="1">
        <v>1</v>
      </c>
      <c r="E12" s="9" t="s">
        <v>862</v>
      </c>
    </row>
    <row r="13" spans="1:5" ht="29" customHeight="1">
      <c r="A13" s="7">
        <f>ROW()-ROW(I3d828[[#Headers],[ลำดับที่]])</f>
        <v>10</v>
      </c>
      <c r="B13" s="8" t="s">
        <v>437</v>
      </c>
      <c r="C13" s="1" t="s">
        <v>118</v>
      </c>
      <c r="D13" s="1">
        <v>1</v>
      </c>
      <c r="E13" s="9" t="s">
        <v>844</v>
      </c>
    </row>
    <row r="14" spans="1:5" ht="29" customHeight="1">
      <c r="A14" s="7">
        <f>ROW()-ROW(I3d828[[#Headers],[ลำดับที่]])</f>
        <v>11</v>
      </c>
      <c r="B14" s="8" t="s">
        <v>800</v>
      </c>
      <c r="C14" s="1" t="s">
        <v>56</v>
      </c>
      <c r="D14" s="1">
        <v>2</v>
      </c>
      <c r="E14" s="9" t="s">
        <v>801</v>
      </c>
    </row>
    <row r="15" spans="1:5" ht="29" customHeight="1">
      <c r="A15" s="7">
        <f>ROW()-ROW(I3d828[[#Headers],[ลำดับที่]])</f>
        <v>12</v>
      </c>
      <c r="B15" s="8" t="s">
        <v>809</v>
      </c>
      <c r="C15" s="1" t="s">
        <v>56</v>
      </c>
      <c r="D15" s="1">
        <v>1</v>
      </c>
      <c r="E15" s="9" t="s">
        <v>810</v>
      </c>
    </row>
    <row r="16" spans="1:5" ht="29" customHeight="1">
      <c r="A16" s="7">
        <f>ROW()-ROW(I3d828[[#Headers],[ลำดับที่]])</f>
        <v>13</v>
      </c>
      <c r="B16" s="8" t="s">
        <v>813</v>
      </c>
      <c r="C16" s="1" t="s">
        <v>56</v>
      </c>
      <c r="D16" s="1">
        <v>1</v>
      </c>
      <c r="E16" s="9" t="s">
        <v>814</v>
      </c>
    </row>
    <row r="17" spans="1:5" ht="29" customHeight="1">
      <c r="A17" s="7">
        <f>ROW()-ROW(I3d828[[#Headers],[ลำดับที่]])</f>
        <v>14</v>
      </c>
      <c r="B17" s="8" t="s">
        <v>830</v>
      </c>
      <c r="C17" s="1" t="s">
        <v>56</v>
      </c>
      <c r="D17" s="1">
        <v>1</v>
      </c>
      <c r="E17" s="9" t="s">
        <v>831</v>
      </c>
    </row>
    <row r="18" spans="1:5" ht="29" customHeight="1">
      <c r="A18" s="7">
        <f>ROW()-ROW(I3d828[[#Headers],[ลำดับที่]])</f>
        <v>15</v>
      </c>
      <c r="B18" s="8" t="s">
        <v>834</v>
      </c>
      <c r="C18" s="1" t="s">
        <v>56</v>
      </c>
      <c r="D18" s="1">
        <v>7</v>
      </c>
      <c r="E18" s="9" t="s">
        <v>835</v>
      </c>
    </row>
    <row r="19" spans="1:5" ht="29" customHeight="1">
      <c r="A19" s="7">
        <f>ROW()-ROW(I3d828[[#Headers],[ลำดับที่]])</f>
        <v>16</v>
      </c>
      <c r="B19" s="8" t="s">
        <v>819</v>
      </c>
      <c r="C19" s="1" t="s">
        <v>151</v>
      </c>
      <c r="D19" s="1">
        <v>1</v>
      </c>
      <c r="E19" s="9" t="s">
        <v>820</v>
      </c>
    </row>
    <row r="20" spans="1:5" ht="29" customHeight="1">
      <c r="A20" s="7">
        <f>ROW()-ROW(I3d828[[#Headers],[ลำดับที่]])</f>
        <v>17</v>
      </c>
      <c r="B20" s="8" t="s">
        <v>857</v>
      </c>
      <c r="C20" s="1" t="s">
        <v>151</v>
      </c>
      <c r="D20" s="1">
        <v>1</v>
      </c>
      <c r="E20" s="9" t="s">
        <v>858</v>
      </c>
    </row>
    <row r="21" spans="1:5" ht="29" customHeight="1">
      <c r="A21" s="7">
        <f>ROW()-ROW(I3d828[[#Headers],[ลำดับที่]])</f>
        <v>18</v>
      </c>
      <c r="B21" s="8" t="s">
        <v>793</v>
      </c>
      <c r="C21" s="1" t="s">
        <v>794</v>
      </c>
      <c r="D21" s="1">
        <v>1</v>
      </c>
      <c r="E21" s="9" t="s">
        <v>795</v>
      </c>
    </row>
    <row r="22" spans="1:5" ht="29" customHeight="1">
      <c r="A22" s="7">
        <f>ROW()-ROW(I3d828[[#Headers],[ลำดับที่]])</f>
        <v>19</v>
      </c>
      <c r="B22" s="8" t="s">
        <v>369</v>
      </c>
      <c r="C22" s="1" t="s">
        <v>82</v>
      </c>
      <c r="D22" s="1">
        <v>1</v>
      </c>
      <c r="E22" s="9" t="s">
        <v>780</v>
      </c>
    </row>
    <row r="23" spans="1:5" ht="29" customHeight="1">
      <c r="A23" s="7">
        <f>ROW()-ROW(I3d828[[#Headers],[ลำดับที่]])</f>
        <v>20</v>
      </c>
      <c r="B23" s="8" t="s">
        <v>803</v>
      </c>
      <c r="C23" s="1" t="s">
        <v>82</v>
      </c>
      <c r="D23" s="1">
        <v>1</v>
      </c>
      <c r="E23" s="9" t="s">
        <v>804</v>
      </c>
    </row>
    <row r="24" spans="1:5" ht="29" customHeight="1">
      <c r="A24" s="7">
        <f>ROW()-ROW(I3d828[[#Headers],[ลำดับที่]])</f>
        <v>21</v>
      </c>
      <c r="B24" s="8" t="s">
        <v>867</v>
      </c>
      <c r="C24" s="1" t="s">
        <v>82</v>
      </c>
      <c r="D24" s="1">
        <v>2</v>
      </c>
      <c r="E24" s="12" t="s">
        <v>868</v>
      </c>
    </row>
    <row r="25" spans="1:5" ht="29" customHeight="1">
      <c r="A25" s="7">
        <f>ROW()-ROW(I3d828[[#Headers],[ลำดับที่]])</f>
        <v>22</v>
      </c>
      <c r="B25" s="8" t="s">
        <v>842</v>
      </c>
      <c r="C25" s="1" t="s">
        <v>502</v>
      </c>
      <c r="D25" s="1">
        <v>1</v>
      </c>
      <c r="E25" s="9" t="s">
        <v>843</v>
      </c>
    </row>
    <row r="26" spans="1:5" ht="29" customHeight="1">
      <c r="A26" s="7">
        <f>ROW()-ROW(I3d828[[#Headers],[ลำดับที่]])</f>
        <v>23</v>
      </c>
      <c r="B26" s="8" t="s">
        <v>863</v>
      </c>
      <c r="C26" s="1" t="s">
        <v>502</v>
      </c>
      <c r="D26" s="1">
        <v>1</v>
      </c>
      <c r="E26" s="12" t="s">
        <v>864</v>
      </c>
    </row>
    <row r="27" spans="1:5" ht="29" customHeight="1">
      <c r="A27" s="7">
        <f>ROW()-ROW(I3d828[[#Headers],[ลำดับที่]])</f>
        <v>24</v>
      </c>
      <c r="B27" s="8" t="s">
        <v>796</v>
      </c>
      <c r="C27" s="1" t="s">
        <v>148</v>
      </c>
      <c r="D27" s="1">
        <v>3</v>
      </c>
      <c r="E27" s="9" t="s">
        <v>797</v>
      </c>
    </row>
    <row r="28" spans="1:5" ht="29" customHeight="1">
      <c r="A28" s="7">
        <f>ROW()-ROW(I3d828[[#Headers],[ลำดับที่]])</f>
        <v>25</v>
      </c>
      <c r="B28" s="8" t="s">
        <v>851</v>
      </c>
      <c r="C28" s="1" t="s">
        <v>219</v>
      </c>
      <c r="D28" s="1">
        <v>2</v>
      </c>
      <c r="E28" s="9" t="s">
        <v>852</v>
      </c>
    </row>
    <row r="29" spans="1:5" ht="29" customHeight="1">
      <c r="A29" s="7">
        <f>ROW()-ROW(I3d828[[#Headers],[ลำดับที่]])</f>
        <v>26</v>
      </c>
      <c r="B29" s="8" t="s">
        <v>865</v>
      </c>
      <c r="C29" s="1" t="s">
        <v>219</v>
      </c>
      <c r="D29" s="1">
        <v>2</v>
      </c>
      <c r="E29" s="9" t="s">
        <v>866</v>
      </c>
    </row>
    <row r="30" spans="1:5" ht="29" customHeight="1">
      <c r="A30" s="7">
        <f>ROW()-ROW(I3d828[[#Headers],[ลำดับที่]])</f>
        <v>27</v>
      </c>
      <c r="B30" s="8" t="s">
        <v>757</v>
      </c>
      <c r="C30" s="1" t="s">
        <v>252</v>
      </c>
      <c r="D30" s="1">
        <v>1</v>
      </c>
      <c r="E30" s="9" t="s">
        <v>758</v>
      </c>
    </row>
    <row r="31" spans="1:5" ht="29" customHeight="1">
      <c r="A31" s="7">
        <f>ROW()-ROW(I3d828[[#Headers],[ลำดับที่]])</f>
        <v>28</v>
      </c>
      <c r="B31" s="8" t="s">
        <v>64</v>
      </c>
      <c r="C31" s="1" t="s">
        <v>65</v>
      </c>
      <c r="D31" s="1">
        <v>1</v>
      </c>
      <c r="E31" s="9" t="s">
        <v>752</v>
      </c>
    </row>
    <row r="32" spans="1:5" ht="29" customHeight="1">
      <c r="A32" s="7">
        <f>ROW()-ROW(I3d828[[#Headers],[ลำดับที่]])</f>
        <v>29</v>
      </c>
      <c r="B32" s="8" t="s">
        <v>832</v>
      </c>
      <c r="C32" s="1" t="s">
        <v>65</v>
      </c>
      <c r="D32" s="1">
        <v>2</v>
      </c>
      <c r="E32" s="9" t="s">
        <v>833</v>
      </c>
    </row>
    <row r="33" spans="1:5" ht="29" customHeight="1">
      <c r="A33" s="7">
        <f>ROW()-ROW(I3d828[[#Headers],[ลำดับที่]])</f>
        <v>30</v>
      </c>
      <c r="B33" s="8" t="s">
        <v>293</v>
      </c>
      <c r="C33" s="1" t="s">
        <v>178</v>
      </c>
      <c r="D33" s="1">
        <v>1</v>
      </c>
      <c r="E33" s="12" t="s">
        <v>869</v>
      </c>
    </row>
    <row r="34" spans="1:5" ht="29" customHeight="1">
      <c r="A34" s="7">
        <f>ROW()-ROW(I3d828[[#Headers],[ลำดับที่]])</f>
        <v>31</v>
      </c>
      <c r="B34" s="8" t="s">
        <v>761</v>
      </c>
      <c r="C34" s="1" t="s">
        <v>477</v>
      </c>
      <c r="D34" s="1">
        <v>1</v>
      </c>
      <c r="E34" s="9" t="s">
        <v>762</v>
      </c>
    </row>
    <row r="35" spans="1:5" ht="29" customHeight="1">
      <c r="A35" s="7">
        <f>ROW()-ROW(I3d828[[#Headers],[ลำดับที่]])</f>
        <v>32</v>
      </c>
      <c r="B35" s="8" t="s">
        <v>764</v>
      </c>
      <c r="C35" s="1" t="s">
        <v>477</v>
      </c>
      <c r="D35" s="1">
        <v>1</v>
      </c>
      <c r="E35" s="9" t="s">
        <v>765</v>
      </c>
    </row>
    <row r="36" spans="1:5" ht="29" customHeight="1">
      <c r="A36" s="7">
        <f>ROW()-ROW(I3d828[[#Headers],[ลำดับที่]])</f>
        <v>33</v>
      </c>
      <c r="B36" s="8" t="s">
        <v>777</v>
      </c>
      <c r="C36" s="1" t="s">
        <v>477</v>
      </c>
      <c r="D36" s="1">
        <v>1</v>
      </c>
      <c r="E36" s="9" t="s">
        <v>776</v>
      </c>
    </row>
    <row r="37" spans="1:5" ht="29" customHeight="1">
      <c r="A37" s="7">
        <f>ROW()-ROW(I3d828[[#Headers],[ลำดับที่]])</f>
        <v>34</v>
      </c>
      <c r="B37" s="8" t="s">
        <v>781</v>
      </c>
      <c r="C37" s="1" t="s">
        <v>477</v>
      </c>
      <c r="D37" s="1">
        <v>1</v>
      </c>
      <c r="E37" s="9" t="s">
        <v>782</v>
      </c>
    </row>
    <row r="38" spans="1:5" ht="29" customHeight="1">
      <c r="A38" s="7">
        <f>ROW()-ROW(I3d828[[#Headers],[ลำดับที่]])</f>
        <v>35</v>
      </c>
      <c r="B38" s="8" t="s">
        <v>783</v>
      </c>
      <c r="C38" s="1" t="s">
        <v>477</v>
      </c>
      <c r="D38" s="1">
        <v>1</v>
      </c>
      <c r="E38" s="9" t="s">
        <v>784</v>
      </c>
    </row>
    <row r="39" spans="1:5" ht="29" customHeight="1">
      <c r="A39" s="7">
        <f>ROW()-ROW(I3d828[[#Headers],[ลำดับที่]])</f>
        <v>36</v>
      </c>
      <c r="B39" s="8" t="s">
        <v>640</v>
      </c>
      <c r="C39" s="1" t="s">
        <v>121</v>
      </c>
      <c r="D39" s="1">
        <v>2</v>
      </c>
      <c r="E39" s="9" t="s">
        <v>763</v>
      </c>
    </row>
    <row r="40" spans="1:5" ht="29" customHeight="1">
      <c r="A40" s="7">
        <f>ROW()-ROW(I3d828[[#Headers],[ลำดับที่]])</f>
        <v>37</v>
      </c>
      <c r="B40" s="8" t="s">
        <v>774</v>
      </c>
      <c r="C40" s="1" t="s">
        <v>216</v>
      </c>
      <c r="D40" s="1">
        <v>1</v>
      </c>
      <c r="E40" s="9" t="s">
        <v>775</v>
      </c>
    </row>
    <row r="41" spans="1:5" ht="29" customHeight="1">
      <c r="A41" s="7">
        <f>ROW()-ROW(I3d828[[#Headers],[ลำดับที่]])</f>
        <v>38</v>
      </c>
      <c r="B41" s="8" t="s">
        <v>726</v>
      </c>
      <c r="C41" s="1" t="s">
        <v>124</v>
      </c>
      <c r="D41" s="1">
        <v>7</v>
      </c>
      <c r="E41" s="9" t="s">
        <v>855</v>
      </c>
    </row>
    <row r="42" spans="1:5" ht="29" customHeight="1">
      <c r="A42" s="7">
        <f>ROW()-ROW(I3d828[[#Headers],[ลำดับที่]])</f>
        <v>39</v>
      </c>
      <c r="B42" s="8" t="s">
        <v>817</v>
      </c>
      <c r="C42" s="1" t="s">
        <v>287</v>
      </c>
      <c r="D42" s="1">
        <v>5</v>
      </c>
      <c r="E42" s="9" t="s">
        <v>818</v>
      </c>
    </row>
    <row r="43" spans="1:5" ht="29" customHeight="1">
      <c r="A43" s="7">
        <f>ROW()-ROW(I3d828[[#Headers],[ลำดับที่]])</f>
        <v>40</v>
      </c>
      <c r="B43" s="8" t="s">
        <v>828</v>
      </c>
      <c r="C43" s="1" t="s">
        <v>287</v>
      </c>
      <c r="D43" s="1">
        <v>2</v>
      </c>
      <c r="E43" s="9" t="s">
        <v>829</v>
      </c>
    </row>
    <row r="44" spans="1:5" ht="29" customHeight="1">
      <c r="A44" s="7">
        <f>ROW()-ROW(I3d828[[#Headers],[ลำดับที่]])</f>
        <v>41</v>
      </c>
      <c r="B44" s="8" t="s">
        <v>787</v>
      </c>
      <c r="C44" s="1" t="s">
        <v>412</v>
      </c>
      <c r="D44" s="1">
        <v>1</v>
      </c>
      <c r="E44" s="9" t="s">
        <v>788</v>
      </c>
    </row>
    <row r="45" spans="1:5" ht="29" customHeight="1">
      <c r="A45" s="7">
        <f>ROW()-ROW(I3d828[[#Headers],[ลำดับที่]])</f>
        <v>42</v>
      </c>
      <c r="B45" s="8" t="s">
        <v>759</v>
      </c>
      <c r="C45" s="1" t="s">
        <v>79</v>
      </c>
      <c r="D45" s="1">
        <v>6</v>
      </c>
      <c r="E45" s="9" t="s">
        <v>760</v>
      </c>
    </row>
    <row r="46" spans="1:5" ht="29" customHeight="1">
      <c r="A46" s="7">
        <f>ROW()-ROW(I3d828[[#Headers],[ลำดับที่]])</f>
        <v>43</v>
      </c>
      <c r="B46" s="8" t="s">
        <v>807</v>
      </c>
      <c r="C46" s="1" t="s">
        <v>59</v>
      </c>
      <c r="D46" s="1">
        <v>1</v>
      </c>
      <c r="E46" s="9" t="s">
        <v>808</v>
      </c>
    </row>
    <row r="47" spans="1:5" ht="29" customHeight="1">
      <c r="A47" s="7">
        <f>ROW()-ROW(I3d828[[#Headers],[ลำดับที่]])</f>
        <v>44</v>
      </c>
      <c r="B47" s="8" t="s">
        <v>815</v>
      </c>
      <c r="C47" s="1" t="s">
        <v>59</v>
      </c>
      <c r="D47" s="1">
        <v>1</v>
      </c>
      <c r="E47" s="9" t="s">
        <v>816</v>
      </c>
    </row>
    <row r="48" spans="1:5" ht="29" customHeight="1">
      <c r="A48" s="7">
        <f>ROW()-ROW(I3d828[[#Headers],[ลำดับที่]])</f>
        <v>45</v>
      </c>
      <c r="B48" s="8" t="s">
        <v>849</v>
      </c>
      <c r="C48" s="1" t="s">
        <v>59</v>
      </c>
      <c r="D48" s="1">
        <v>1</v>
      </c>
      <c r="E48" s="9" t="s">
        <v>850</v>
      </c>
    </row>
    <row r="49" spans="1:5" ht="29" customHeight="1">
      <c r="A49" s="7">
        <f>ROW()-ROW(I3d828[[#Headers],[ลำดับที่]])</f>
        <v>46</v>
      </c>
      <c r="B49" s="8" t="s">
        <v>785</v>
      </c>
      <c r="C49" s="1" t="s">
        <v>101</v>
      </c>
      <c r="D49" s="1">
        <v>1</v>
      </c>
      <c r="E49" s="9" t="s">
        <v>786</v>
      </c>
    </row>
    <row r="50" spans="1:5" ht="29" customHeight="1">
      <c r="A50" s="7">
        <f>ROW()-ROW(I3d828[[#Headers],[ลำดับที่]])</f>
        <v>47</v>
      </c>
      <c r="B50" s="8" t="s">
        <v>825</v>
      </c>
      <c r="C50" s="1" t="s">
        <v>826</v>
      </c>
      <c r="D50" s="1">
        <v>1</v>
      </c>
      <c r="E50" s="9" t="s">
        <v>827</v>
      </c>
    </row>
    <row r="51" spans="1:5" ht="29" customHeight="1">
      <c r="A51" s="7">
        <f>ROW()-ROW(I3d828[[#Headers],[ลำดับที่]])</f>
        <v>48</v>
      </c>
      <c r="B51" s="8" t="s">
        <v>770</v>
      </c>
      <c r="C51" s="1" t="s">
        <v>89</v>
      </c>
      <c r="D51" s="1">
        <v>1</v>
      </c>
      <c r="E51" s="9" t="s">
        <v>771</v>
      </c>
    </row>
    <row r="52" spans="1:5" ht="29" customHeight="1">
      <c r="A52" s="7">
        <f>ROW()-ROW(I3d828[[#Headers],[ลำดับที่]])</f>
        <v>49</v>
      </c>
      <c r="B52" s="8" t="s">
        <v>768</v>
      </c>
      <c r="C52" s="1" t="s">
        <v>130</v>
      </c>
      <c r="D52" s="1">
        <v>1</v>
      </c>
      <c r="E52" s="9" t="s">
        <v>769</v>
      </c>
    </row>
    <row r="53" spans="1:5" ht="27" customHeight="1">
      <c r="A53" s="7">
        <f>ROW()-ROW(I3d828[[#Headers],[ลำดับที่]])</f>
        <v>50</v>
      </c>
      <c r="B53" s="8" t="s">
        <v>778</v>
      </c>
      <c r="C53" s="1" t="s">
        <v>130</v>
      </c>
      <c r="D53" s="1">
        <v>1</v>
      </c>
      <c r="E53" s="9" t="s">
        <v>779</v>
      </c>
    </row>
    <row r="54" spans="1:5" ht="27" customHeight="1">
      <c r="A54" s="7">
        <f>ROW()-ROW(I3d828[[#Headers],[ลำดับที่]])</f>
        <v>51</v>
      </c>
      <c r="B54" s="8" t="s">
        <v>838</v>
      </c>
      <c r="C54" s="1" t="s">
        <v>130</v>
      </c>
      <c r="D54" s="1">
        <v>1</v>
      </c>
      <c r="E54" s="9" t="s">
        <v>839</v>
      </c>
    </row>
    <row r="55" spans="1:5" ht="27" customHeight="1">
      <c r="A55" s="7">
        <f>ROW()-ROW(I3d828[[#Headers],[ลำดับที่]])</f>
        <v>52</v>
      </c>
      <c r="B55" s="8" t="s">
        <v>823</v>
      </c>
      <c r="C55" s="1" t="s">
        <v>76</v>
      </c>
      <c r="D55" s="1">
        <v>1</v>
      </c>
      <c r="E55" s="9" t="s">
        <v>824</v>
      </c>
    </row>
    <row r="56" spans="1:5" ht="27" customHeight="1">
      <c r="A56" s="7">
        <f>ROW()-ROW(I3d828[[#Headers],[ลำดับที่]])</f>
        <v>53</v>
      </c>
      <c r="B56" s="8" t="s">
        <v>791</v>
      </c>
      <c r="C56" s="1" t="s">
        <v>159</v>
      </c>
      <c r="D56" s="1">
        <v>4</v>
      </c>
      <c r="E56" s="9" t="s">
        <v>792</v>
      </c>
    </row>
    <row r="57" spans="1:5" ht="27" customHeight="1">
      <c r="A57" s="7">
        <f>ROW()-ROW(I3d828[[#Headers],[ลำดับที่]])</f>
        <v>54</v>
      </c>
      <c r="B57" s="8" t="s">
        <v>755</v>
      </c>
      <c r="C57" s="1" t="s">
        <v>95</v>
      </c>
      <c r="D57" s="1">
        <v>2</v>
      </c>
      <c r="E57" s="9" t="s">
        <v>756</v>
      </c>
    </row>
    <row r="58" spans="1:5" ht="27" customHeight="1">
      <c r="A58" s="7">
        <f>ROW()-ROW(I3d828[[#Headers],[ลำดับที่]])</f>
        <v>55</v>
      </c>
      <c r="B58" s="8" t="s">
        <v>772</v>
      </c>
      <c r="C58" s="1" t="s">
        <v>95</v>
      </c>
      <c r="D58" s="1">
        <v>1</v>
      </c>
      <c r="E58" s="9" t="s">
        <v>773</v>
      </c>
    </row>
    <row r="59" spans="1:5" ht="27" customHeight="1">
      <c r="A59" s="7">
        <f>ROW()-ROW(I3d828[[#Headers],[ลำดับที่]])</f>
        <v>56</v>
      </c>
      <c r="B59" s="8" t="s">
        <v>805</v>
      </c>
      <c r="C59" s="1" t="s">
        <v>95</v>
      </c>
      <c r="D59" s="1">
        <v>1</v>
      </c>
      <c r="E59" s="9" t="s">
        <v>806</v>
      </c>
    </row>
    <row r="60" spans="1:5" ht="27" customHeight="1">
      <c r="A60" s="7">
        <f>ROW()-ROW(I3d828[[#Headers],[ลำดับที่]])</f>
        <v>57</v>
      </c>
      <c r="B60" s="8" t="s">
        <v>840</v>
      </c>
      <c r="C60" s="1" t="s">
        <v>95</v>
      </c>
      <c r="D60" s="1">
        <v>1</v>
      </c>
      <c r="E60" s="9" t="s">
        <v>841</v>
      </c>
    </row>
    <row r="61" spans="1:5" ht="27" customHeight="1">
      <c r="A61" s="7">
        <f>ROW()-ROW(I3d828[[#Headers],[ลำดับที่]])</f>
        <v>58</v>
      </c>
      <c r="B61" s="8" t="s">
        <v>845</v>
      </c>
      <c r="C61" s="1" t="s">
        <v>95</v>
      </c>
      <c r="D61" s="1">
        <v>1</v>
      </c>
      <c r="E61" s="9" t="s">
        <v>846</v>
      </c>
    </row>
    <row r="62" spans="1:5" ht="27" customHeight="1">
      <c r="A62" s="7">
        <f>ROW()-ROW(I3d828[[#Headers],[ลำดับที่]])</f>
        <v>59</v>
      </c>
      <c r="B62" s="8" t="s">
        <v>789</v>
      </c>
      <c r="C62" s="1" t="s">
        <v>111</v>
      </c>
      <c r="D62" s="1">
        <v>2</v>
      </c>
      <c r="E62" s="9" t="s">
        <v>790</v>
      </c>
    </row>
    <row r="63" spans="1:5" ht="27" customHeight="1">
      <c r="A63" s="7">
        <f>ROW()-ROW(I3d828[[#Headers],[ลำดับที่]])</f>
        <v>60</v>
      </c>
      <c r="B63" s="8" t="s">
        <v>798</v>
      </c>
      <c r="C63" s="1" t="s">
        <v>111</v>
      </c>
      <c r="D63" s="1">
        <v>5</v>
      </c>
      <c r="E63" s="9" t="s">
        <v>799</v>
      </c>
    </row>
    <row r="64" spans="1:5" ht="27" customHeight="1">
      <c r="A64" s="7">
        <f>ROW()-ROW(I3d828[[#Headers],[ลำดับที่]])</f>
        <v>61</v>
      </c>
      <c r="B64" s="8" t="s">
        <v>142</v>
      </c>
      <c r="C64" s="1" t="s">
        <v>111</v>
      </c>
      <c r="D64" s="1">
        <v>7</v>
      </c>
      <c r="E64" s="9" t="s">
        <v>802</v>
      </c>
    </row>
    <row r="65" spans="1:5" ht="27" customHeight="1">
      <c r="A65" s="7">
        <f>ROW()-ROW(I3d828[[#Headers],[ลำดับที่]])</f>
        <v>62</v>
      </c>
      <c r="B65" s="8" t="s">
        <v>192</v>
      </c>
      <c r="C65" s="1" t="s">
        <v>111</v>
      </c>
      <c r="D65" s="1">
        <v>3</v>
      </c>
      <c r="E65" s="9" t="s">
        <v>856</v>
      </c>
    </row>
    <row r="66" spans="1:5" ht="27" customHeight="1">
      <c r="C66" s="10" t="s">
        <v>8</v>
      </c>
      <c r="D66" s="17">
        <f>SUM(D4:D65)</f>
        <v>112</v>
      </c>
    </row>
    <row r="67" spans="1:5" ht="27" customHeight="1"/>
    <row r="68" spans="1:5" ht="27" customHeight="1"/>
    <row r="69" spans="1:5" ht="27" customHeight="1"/>
    <row r="70" spans="1:5" ht="27" customHeight="1"/>
    <row r="71" spans="1:5" ht="27" customHeight="1"/>
    <row r="72" spans="1:5" ht="27" customHeight="1"/>
    <row r="73" spans="1:5" ht="27" customHeight="1"/>
    <row r="74" spans="1:5" ht="27" customHeight="1"/>
    <row r="75" spans="1:5" ht="27" customHeight="1"/>
    <row r="76" spans="1:5" ht="27" customHeight="1"/>
    <row r="77" spans="1:5" ht="27" customHeight="1"/>
    <row r="78" spans="1:5" ht="27" customHeight="1"/>
    <row r="79" spans="1:5" ht="27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"/>
  <sheetViews>
    <sheetView workbookViewId="0">
      <selection sqref="A1:E1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11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ROW()-ROW(I3d9[[#Headers],[ลำดับที่]])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ROW()-ROW(I3d9[[#Headers],[ลำดับที่]])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ROW()-ROW(I3d9[[#Headers],[ลำดับที่]])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ROW()-ROW(I3d9[[#Headers],[ลำดับที่]])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ROW()-ROW(I3d9[[#Headers],[ลำดับที่]])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ROW()-ROW(I3d9[[#Headers],[ลำดับที่]])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ROW()-ROW(I3d9[[#Headers],[ลำดับที่]])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ROW()-ROW(I3d9[[#Headers],[ลำดับที่]])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ROW()-ROW(I3d9[[#Headers],[ลำดับที่]])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ROW()-ROW(I3d9[[#Headers],[ลำดับที่]])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ROW()-ROW(I3d9[[#Headers],[ลำดับที่]])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ROW()-ROW(I3d9[[#Headers],[ลำดับที่]])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ROW()-ROW(I3d9[[#Headers],[ลำดับที่]])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ROW()-ROW(I3d9[[#Headers],[ลำดับที่]])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ROW()-ROW(I3d9[[#Headers],[ลำดับที่]])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ROW()-ROW(I3d9[[#Headers],[ลำดับที่]])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ROW()-ROW(I3d9[[#Headers],[ลำดับที่]])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ROW()-ROW(I3d9[[#Headers],[ลำดับที่]])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ROW()-ROW(I3d9[[#Headers],[ลำดับที่]])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ROW()-ROW(I3d9[[#Headers],[ลำดับที่]])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ROW()-ROW(I3d9[[#Headers],[ลำดับที่]])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ROW()-ROW(I3d9[[#Headers],[ลำดับที่]])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ROW()-ROW(I3d9[[#Headers],[ลำดับที่]])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ROW()-ROW(I3d9[[#Headers],[ลำดับที่]])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ROW()-ROW(I3d9[[#Headers],[ลำดับที่]])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ROW()-ROW(I3d9[[#Headers],[ลำดับที่]])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ROW()-ROW(I3d9[[#Headers],[ลำดับที่]])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ROW()-ROW(I3d9[[#Headers],[ลำดับที่]])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ROW()-ROW(I3d9[[#Headers],[ลำดับที่]])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ROW()-ROW(I3d9[[#Headers],[ลำดับที่]])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ROW()-ROW(I3d9[[#Headers],[ลำดับที่]])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ROW()-ROW(I3d9[[#Headers],[ลำดับที่]])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ROW()-ROW(I3d9[[#Headers],[ลำดับที่]])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ROW()-ROW(I3d9[[#Headers],[ลำดับที่]])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ROW()-ROW(I3d9[[#Headers],[ลำดับที่]])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ROW()-ROW(I3d9[[#Headers],[ลำดับที่]])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ROW()-ROW(I3d9[[#Headers],[ลำดับที่]])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ROW()-ROW(I3d9[[#Headers],[ลำดับที่]])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ROW()-ROW(I3d9[[#Headers],[ลำดับที่]])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ROW()-ROW(I3d9[[#Headers],[ลำดับที่]])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ROW()-ROW(I3d9[[#Headers],[ลำดับที่]])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ROW()-ROW(I3d9[[#Headers],[ลำดับที่]])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ROW()-ROW(I3d9[[#Headers],[ลำดับที่]])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ROW()-ROW(I3d9[[#Headers],[ลำดับที่]])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ROW()-ROW(I3d9[[#Headers],[ลำดับที่]])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ROW()-ROW(I3d9[[#Headers],[ลำดับที่]])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ROW()-ROW(I3d9[[#Headers],[ลำดับที่]])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ROW()-ROW(I3d9[[#Headers],[ลำดับที่]])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ROW()-ROW(I3d9[[#Headers],[ลำดับที่]])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ROW()-ROW(I3d9[[#Headers],[ลำดับที่]])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12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ROW()-ROW(I3d10[[#Headers],[ลำดับที่]])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ROW()-ROW(I3d10[[#Headers],[ลำดับที่]])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ROW()-ROW(I3d10[[#Headers],[ลำดับที่]])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ROW()-ROW(I3d10[[#Headers],[ลำดับที่]])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ROW()-ROW(I3d10[[#Headers],[ลำดับที่]])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ROW()-ROW(I3d10[[#Headers],[ลำดับที่]])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ROW()-ROW(I3d10[[#Headers],[ลำดับที่]])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ROW()-ROW(I3d10[[#Headers],[ลำดับที่]])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ROW()-ROW(I3d10[[#Headers],[ลำดับที่]])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ROW()-ROW(I3d10[[#Headers],[ลำดับที่]])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ROW()-ROW(I3d10[[#Headers],[ลำดับที่]])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ROW()-ROW(I3d10[[#Headers],[ลำดับที่]])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ROW()-ROW(I3d10[[#Headers],[ลำดับที่]])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ROW()-ROW(I3d10[[#Headers],[ลำดับที่]])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ROW()-ROW(I3d10[[#Headers],[ลำดับที่]])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ROW()-ROW(I3d10[[#Headers],[ลำดับที่]])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ROW()-ROW(I3d10[[#Headers],[ลำดับที่]])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ROW()-ROW(I3d10[[#Headers],[ลำดับที่]])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ROW()-ROW(I3d10[[#Headers],[ลำดับที่]])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ROW()-ROW(I3d10[[#Headers],[ลำดับที่]])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ROW()-ROW(I3d10[[#Headers],[ลำดับที่]])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ROW()-ROW(I3d10[[#Headers],[ลำดับที่]])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ROW()-ROW(I3d10[[#Headers],[ลำดับที่]])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ROW()-ROW(I3d10[[#Headers],[ลำดับที่]])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ROW()-ROW(I3d10[[#Headers],[ลำดับที่]])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ROW()-ROW(I3d10[[#Headers],[ลำดับที่]])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ROW()-ROW(I3d10[[#Headers],[ลำดับที่]])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ROW()-ROW(I3d10[[#Headers],[ลำดับที่]])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ROW()-ROW(I3d10[[#Headers],[ลำดับที่]])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ROW()-ROW(I3d10[[#Headers],[ลำดับที่]])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ROW()-ROW(I3d10[[#Headers],[ลำดับที่]])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ROW()-ROW(I3d10[[#Headers],[ลำดับที่]])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ROW()-ROW(I3d10[[#Headers],[ลำดับที่]])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ROW()-ROW(I3d10[[#Headers],[ลำดับที่]])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ROW()-ROW(I3d10[[#Headers],[ลำดับที่]])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ROW()-ROW(I3d10[[#Headers],[ลำดับที่]])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ROW()-ROW(I3d10[[#Headers],[ลำดับที่]])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ROW()-ROW(I3d10[[#Headers],[ลำดับที่]])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ROW()-ROW(I3d10[[#Headers],[ลำดับที่]])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ROW()-ROW(I3d10[[#Headers],[ลำดับที่]])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ROW()-ROW(I3d10[[#Headers],[ลำดับที่]])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ROW()-ROW(I3d10[[#Headers],[ลำดับที่]])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ROW()-ROW(I3d10[[#Headers],[ลำดับที่]])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ROW()-ROW(I3d10[[#Headers],[ลำดับที่]])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ROW()-ROW(I3d10[[#Headers],[ลำดับที่]])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ROW()-ROW(I3d10[[#Headers],[ลำดับที่]])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ROW()-ROW(I3d10[[#Headers],[ลำดับที่]])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ROW()-ROW(I3d10[[#Headers],[ลำดับที่]])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ROW()-ROW(I3d10[[#Headers],[ลำดับที่]])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ROW()-ROW(I3d10[[#Headers],[ลำดับที่]])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13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ROW()-ROW(I3d11[[#Headers],[ลำดับที่]])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ROW()-ROW(I3d11[[#Headers],[ลำดับที่]])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ROW()-ROW(I3d11[[#Headers],[ลำดับที่]])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ROW()-ROW(I3d11[[#Headers],[ลำดับที่]])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ROW()-ROW(I3d11[[#Headers],[ลำดับที่]])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ROW()-ROW(I3d11[[#Headers],[ลำดับที่]])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ROW()-ROW(I3d11[[#Headers],[ลำดับที่]])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ROW()-ROW(I3d11[[#Headers],[ลำดับที่]])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ROW()-ROW(I3d11[[#Headers],[ลำดับที่]])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ROW()-ROW(I3d11[[#Headers],[ลำดับที่]])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ROW()-ROW(I3d11[[#Headers],[ลำดับที่]])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ROW()-ROW(I3d11[[#Headers],[ลำดับที่]])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ROW()-ROW(I3d11[[#Headers],[ลำดับที่]])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ROW()-ROW(I3d11[[#Headers],[ลำดับที่]])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ROW()-ROW(I3d11[[#Headers],[ลำดับที่]])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ROW()-ROW(I3d11[[#Headers],[ลำดับที่]])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ROW()-ROW(I3d11[[#Headers],[ลำดับที่]])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ROW()-ROW(I3d11[[#Headers],[ลำดับที่]])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ROW()-ROW(I3d11[[#Headers],[ลำดับที่]])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ROW()-ROW(I3d11[[#Headers],[ลำดับที่]])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ROW()-ROW(I3d11[[#Headers],[ลำดับที่]])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ROW()-ROW(I3d11[[#Headers],[ลำดับที่]])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ROW()-ROW(I3d11[[#Headers],[ลำดับที่]])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ROW()-ROW(I3d11[[#Headers],[ลำดับที่]])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ROW()-ROW(I3d11[[#Headers],[ลำดับที่]])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ROW()-ROW(I3d11[[#Headers],[ลำดับที่]])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ROW()-ROW(I3d11[[#Headers],[ลำดับที่]])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ROW()-ROW(I3d11[[#Headers],[ลำดับที่]])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ROW()-ROW(I3d11[[#Headers],[ลำดับที่]])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ROW()-ROW(I3d11[[#Headers],[ลำดับที่]])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ROW()-ROW(I3d11[[#Headers],[ลำดับที่]])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ROW()-ROW(I3d11[[#Headers],[ลำดับที่]])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ROW()-ROW(I3d11[[#Headers],[ลำดับที่]])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ROW()-ROW(I3d11[[#Headers],[ลำดับที่]])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ROW()-ROW(I3d11[[#Headers],[ลำดับที่]])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ROW()-ROW(I3d11[[#Headers],[ลำดับที่]])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ROW()-ROW(I3d11[[#Headers],[ลำดับที่]])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ROW()-ROW(I3d11[[#Headers],[ลำดับที่]])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ROW()-ROW(I3d11[[#Headers],[ลำดับที่]])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ROW()-ROW(I3d11[[#Headers],[ลำดับที่]])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ROW()-ROW(I3d11[[#Headers],[ลำดับที่]])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ROW()-ROW(I3d11[[#Headers],[ลำดับที่]])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ROW()-ROW(I3d11[[#Headers],[ลำดับที่]])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ROW()-ROW(I3d11[[#Headers],[ลำดับที่]])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ROW()-ROW(I3d11[[#Headers],[ลำดับที่]])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ROW()-ROW(I3d11[[#Headers],[ลำดับที่]])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ROW()-ROW(I3d11[[#Headers],[ลำดับที่]])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ROW()-ROW(I3d11[[#Headers],[ลำดับที่]])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ROW()-ROW(I3d11[[#Headers],[ลำดับที่]])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ROW()-ROW(I3d11[[#Headers],[ลำดับที่]])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14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ROW()-ROW(I3d12[[#Headers],[ลำดับที่]])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ROW()-ROW(I3d12[[#Headers],[ลำดับที่]])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ROW()-ROW(I3d12[[#Headers],[ลำดับที่]])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ROW()-ROW(I3d12[[#Headers],[ลำดับที่]])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ROW()-ROW(I3d12[[#Headers],[ลำดับที่]])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ROW()-ROW(I3d12[[#Headers],[ลำดับที่]])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ROW()-ROW(I3d12[[#Headers],[ลำดับที่]])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ROW()-ROW(I3d12[[#Headers],[ลำดับที่]])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ROW()-ROW(I3d12[[#Headers],[ลำดับที่]])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ROW()-ROW(I3d12[[#Headers],[ลำดับที่]])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ROW()-ROW(I3d12[[#Headers],[ลำดับที่]])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ROW()-ROW(I3d12[[#Headers],[ลำดับที่]])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ROW()-ROW(I3d12[[#Headers],[ลำดับที่]])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ROW()-ROW(I3d12[[#Headers],[ลำดับที่]])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ROW()-ROW(I3d12[[#Headers],[ลำดับที่]])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ROW()-ROW(I3d12[[#Headers],[ลำดับที่]])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ROW()-ROW(I3d12[[#Headers],[ลำดับที่]])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ROW()-ROW(I3d12[[#Headers],[ลำดับที่]])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ROW()-ROW(I3d12[[#Headers],[ลำดับที่]])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ROW()-ROW(I3d12[[#Headers],[ลำดับที่]])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ROW()-ROW(I3d12[[#Headers],[ลำดับที่]])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ROW()-ROW(I3d12[[#Headers],[ลำดับที่]])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ROW()-ROW(I3d12[[#Headers],[ลำดับที่]])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ROW()-ROW(I3d12[[#Headers],[ลำดับที่]])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ROW()-ROW(I3d12[[#Headers],[ลำดับที่]])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ROW()-ROW(I3d12[[#Headers],[ลำดับที่]])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ROW()-ROW(I3d12[[#Headers],[ลำดับที่]])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ROW()-ROW(I3d12[[#Headers],[ลำดับที่]])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ROW()-ROW(I3d12[[#Headers],[ลำดับที่]])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ROW()-ROW(I3d12[[#Headers],[ลำดับที่]])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ROW()-ROW(I3d12[[#Headers],[ลำดับที่]])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ROW()-ROW(I3d12[[#Headers],[ลำดับที่]])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ROW()-ROW(I3d12[[#Headers],[ลำดับที่]])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ROW()-ROW(I3d12[[#Headers],[ลำดับที่]])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ROW()-ROW(I3d12[[#Headers],[ลำดับที่]])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ROW()-ROW(I3d12[[#Headers],[ลำดับที่]])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ROW()-ROW(I3d12[[#Headers],[ลำดับที่]])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ROW()-ROW(I3d12[[#Headers],[ลำดับที่]])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ROW()-ROW(I3d12[[#Headers],[ลำดับที่]])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ROW()-ROW(I3d12[[#Headers],[ลำดับที่]])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ROW()-ROW(I3d12[[#Headers],[ลำดับที่]])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ROW()-ROW(I3d12[[#Headers],[ลำดับที่]])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ROW()-ROW(I3d12[[#Headers],[ลำดับที่]])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ROW()-ROW(I3d12[[#Headers],[ลำดับที่]])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ROW()-ROW(I3d12[[#Headers],[ลำดับที่]])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ROW()-ROW(I3d12[[#Headers],[ลำดับที่]])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ROW()-ROW(I3d12[[#Headers],[ลำดับที่]])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ROW()-ROW(I3d12[[#Headers],[ลำดับที่]])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ROW()-ROW(I3d12[[#Headers],[ลำดับที่]])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ROW()-ROW(I3d12[[#Headers],[ลำดับที่]])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15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ROW()-ROW(I3d13[[#Headers],[ลำดับที่]])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ROW()-ROW(I3d13[[#Headers],[ลำดับที่]])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ROW()-ROW(I3d13[[#Headers],[ลำดับที่]])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ROW()-ROW(I3d13[[#Headers],[ลำดับที่]])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ROW()-ROW(I3d13[[#Headers],[ลำดับที่]])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ROW()-ROW(I3d13[[#Headers],[ลำดับที่]])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ROW()-ROW(I3d13[[#Headers],[ลำดับที่]])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ROW()-ROW(I3d13[[#Headers],[ลำดับที่]])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ROW()-ROW(I3d13[[#Headers],[ลำดับที่]])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ROW()-ROW(I3d13[[#Headers],[ลำดับที่]])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ROW()-ROW(I3d13[[#Headers],[ลำดับที่]])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ROW()-ROW(I3d13[[#Headers],[ลำดับที่]])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ROW()-ROW(I3d13[[#Headers],[ลำดับที่]])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ROW()-ROW(I3d13[[#Headers],[ลำดับที่]])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ROW()-ROW(I3d13[[#Headers],[ลำดับที่]])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ROW()-ROW(I3d13[[#Headers],[ลำดับที่]])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ROW()-ROW(I3d13[[#Headers],[ลำดับที่]])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ROW()-ROW(I3d13[[#Headers],[ลำดับที่]])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ROW()-ROW(I3d13[[#Headers],[ลำดับที่]])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ROW()-ROW(I3d13[[#Headers],[ลำดับที่]])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ROW()-ROW(I3d13[[#Headers],[ลำดับที่]])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ROW()-ROW(I3d13[[#Headers],[ลำดับที่]])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ROW()-ROW(I3d13[[#Headers],[ลำดับที่]])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ROW()-ROW(I3d13[[#Headers],[ลำดับที่]])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ROW()-ROW(I3d13[[#Headers],[ลำดับที่]])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ROW()-ROW(I3d13[[#Headers],[ลำดับที่]])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ROW()-ROW(I3d13[[#Headers],[ลำดับที่]])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ROW()-ROW(I3d13[[#Headers],[ลำดับที่]])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ROW()-ROW(I3d13[[#Headers],[ลำดับที่]])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ROW()-ROW(I3d13[[#Headers],[ลำดับที่]])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ROW()-ROW(I3d13[[#Headers],[ลำดับที่]])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ROW()-ROW(I3d13[[#Headers],[ลำดับที่]])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ROW()-ROW(I3d13[[#Headers],[ลำดับที่]])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ROW()-ROW(I3d13[[#Headers],[ลำดับที่]])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ROW()-ROW(I3d13[[#Headers],[ลำดับที่]])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ROW()-ROW(I3d13[[#Headers],[ลำดับที่]])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ROW()-ROW(I3d13[[#Headers],[ลำดับที่]])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ROW()-ROW(I3d13[[#Headers],[ลำดับที่]])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ROW()-ROW(I3d13[[#Headers],[ลำดับที่]])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ROW()-ROW(I3d13[[#Headers],[ลำดับที่]])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ROW()-ROW(I3d13[[#Headers],[ลำดับที่]])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ROW()-ROW(I3d13[[#Headers],[ลำดับที่]])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ROW()-ROW(I3d13[[#Headers],[ลำดับที่]])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ROW()-ROW(I3d13[[#Headers],[ลำดับที่]])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ROW()-ROW(I3d13[[#Headers],[ลำดับที่]])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ROW()-ROW(I3d13[[#Headers],[ลำดับที่]])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ROW()-ROW(I3d13[[#Headers],[ลำดับที่]])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ROW()-ROW(I3d13[[#Headers],[ลำดับที่]])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ROW()-ROW(I3d13[[#Headers],[ลำดับที่]])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ROW()-ROW(I3d13[[#Headers],[ลำดับที่]])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16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ROW()-ROW(I3d14[[#Headers],[ลำดับที่]])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ROW()-ROW(I3d14[[#Headers],[ลำดับที่]])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ROW()-ROW(I3d14[[#Headers],[ลำดับที่]])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ROW()-ROW(I3d14[[#Headers],[ลำดับที่]])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ROW()-ROW(I3d14[[#Headers],[ลำดับที่]])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ROW()-ROW(I3d14[[#Headers],[ลำดับที่]])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ROW()-ROW(I3d14[[#Headers],[ลำดับที่]])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ROW()-ROW(I3d14[[#Headers],[ลำดับที่]])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ROW()-ROW(I3d14[[#Headers],[ลำดับที่]])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ROW()-ROW(I3d14[[#Headers],[ลำดับที่]])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ROW()-ROW(I3d14[[#Headers],[ลำดับที่]])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ROW()-ROW(I3d14[[#Headers],[ลำดับที่]])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ROW()-ROW(I3d14[[#Headers],[ลำดับที่]])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ROW()-ROW(I3d14[[#Headers],[ลำดับที่]])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ROW()-ROW(I3d14[[#Headers],[ลำดับที่]])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ROW()-ROW(I3d14[[#Headers],[ลำดับที่]])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ROW()-ROW(I3d14[[#Headers],[ลำดับที่]])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ROW()-ROW(I3d14[[#Headers],[ลำดับที่]])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ROW()-ROW(I3d14[[#Headers],[ลำดับที่]])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ROW()-ROW(I3d14[[#Headers],[ลำดับที่]])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ROW()-ROW(I3d14[[#Headers],[ลำดับที่]])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ROW()-ROW(I3d14[[#Headers],[ลำดับที่]])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ROW()-ROW(I3d14[[#Headers],[ลำดับที่]])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ROW()-ROW(I3d14[[#Headers],[ลำดับที่]])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ROW()-ROW(I3d14[[#Headers],[ลำดับที่]])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ROW()-ROW(I3d14[[#Headers],[ลำดับที่]])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ROW()-ROW(I3d14[[#Headers],[ลำดับที่]])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ROW()-ROW(I3d14[[#Headers],[ลำดับที่]])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ROW()-ROW(I3d14[[#Headers],[ลำดับที่]])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ROW()-ROW(I3d14[[#Headers],[ลำดับที่]])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ROW()-ROW(I3d14[[#Headers],[ลำดับที่]])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ROW()-ROW(I3d14[[#Headers],[ลำดับที่]])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ROW()-ROW(I3d14[[#Headers],[ลำดับที่]])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ROW()-ROW(I3d14[[#Headers],[ลำดับที่]])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ROW()-ROW(I3d14[[#Headers],[ลำดับที่]])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ROW()-ROW(I3d14[[#Headers],[ลำดับที่]])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ROW()-ROW(I3d14[[#Headers],[ลำดับที่]])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ROW()-ROW(I3d14[[#Headers],[ลำดับที่]])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ROW()-ROW(I3d14[[#Headers],[ลำดับที่]])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ROW()-ROW(I3d14[[#Headers],[ลำดับที่]])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ROW()-ROW(I3d14[[#Headers],[ลำดับที่]])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ROW()-ROW(I3d14[[#Headers],[ลำดับที่]])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ROW()-ROW(I3d14[[#Headers],[ลำดับที่]])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ROW()-ROW(I3d14[[#Headers],[ลำดับที่]])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ROW()-ROW(I3d14[[#Headers],[ลำดับที่]])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ROW()-ROW(I3d14[[#Headers],[ลำดับที่]])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ROW()-ROW(I3d14[[#Headers],[ลำดับที่]])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ROW()-ROW(I3d14[[#Headers],[ลำดับที่]])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ROW()-ROW(I3d14[[#Headers],[ลำดับที่]])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ROW()-ROW(I3d14[[#Headers],[ลำดับที่]])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17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ROW()-ROW(I3d15[[#Headers],[ลำดับที่]])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ROW()-ROW(I3d15[[#Headers],[ลำดับที่]])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ROW()-ROW(I3d15[[#Headers],[ลำดับที่]])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ROW()-ROW(I3d15[[#Headers],[ลำดับที่]])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ROW()-ROW(I3d15[[#Headers],[ลำดับที่]])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ROW()-ROW(I3d15[[#Headers],[ลำดับที่]])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ROW()-ROW(I3d15[[#Headers],[ลำดับที่]])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ROW()-ROW(I3d15[[#Headers],[ลำดับที่]])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ROW()-ROW(I3d15[[#Headers],[ลำดับที่]])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ROW()-ROW(I3d15[[#Headers],[ลำดับที่]])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ROW()-ROW(I3d15[[#Headers],[ลำดับที่]])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ROW()-ROW(I3d15[[#Headers],[ลำดับที่]])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ROW()-ROW(I3d15[[#Headers],[ลำดับที่]])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ROW()-ROW(I3d15[[#Headers],[ลำดับที่]])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ROW()-ROW(I3d15[[#Headers],[ลำดับที่]])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ROW()-ROW(I3d15[[#Headers],[ลำดับที่]])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ROW()-ROW(I3d15[[#Headers],[ลำดับที่]])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ROW()-ROW(I3d15[[#Headers],[ลำดับที่]])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ROW()-ROW(I3d15[[#Headers],[ลำดับที่]])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ROW()-ROW(I3d15[[#Headers],[ลำดับที่]])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ROW()-ROW(I3d15[[#Headers],[ลำดับที่]])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ROW()-ROW(I3d15[[#Headers],[ลำดับที่]])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ROW()-ROW(I3d15[[#Headers],[ลำดับที่]])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ROW()-ROW(I3d15[[#Headers],[ลำดับที่]])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ROW()-ROW(I3d15[[#Headers],[ลำดับที่]])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ROW()-ROW(I3d15[[#Headers],[ลำดับที่]])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ROW()-ROW(I3d15[[#Headers],[ลำดับที่]])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ROW()-ROW(I3d15[[#Headers],[ลำดับที่]])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ROW()-ROW(I3d15[[#Headers],[ลำดับที่]])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ROW()-ROW(I3d15[[#Headers],[ลำดับที่]])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ROW()-ROW(I3d15[[#Headers],[ลำดับที่]])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ROW()-ROW(I3d15[[#Headers],[ลำดับที่]])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ROW()-ROW(I3d15[[#Headers],[ลำดับที่]])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ROW()-ROW(I3d15[[#Headers],[ลำดับที่]])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ROW()-ROW(I3d15[[#Headers],[ลำดับที่]])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ROW()-ROW(I3d15[[#Headers],[ลำดับที่]])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ROW()-ROW(I3d15[[#Headers],[ลำดับที่]])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ROW()-ROW(I3d15[[#Headers],[ลำดับที่]])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ROW()-ROW(I3d15[[#Headers],[ลำดับที่]])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ROW()-ROW(I3d15[[#Headers],[ลำดับที่]])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ROW()-ROW(I3d15[[#Headers],[ลำดับที่]])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ROW()-ROW(I3d15[[#Headers],[ลำดับที่]])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ROW()-ROW(I3d15[[#Headers],[ลำดับที่]])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ROW()-ROW(I3d15[[#Headers],[ลำดับที่]])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ROW()-ROW(I3d15[[#Headers],[ลำดับที่]])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ROW()-ROW(I3d15[[#Headers],[ลำดับที่]])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ROW()-ROW(I3d15[[#Headers],[ลำดับที่]])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ROW()-ROW(I3d15[[#Headers],[ลำดับที่]])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ROW()-ROW(I3d15[[#Headers],[ลำดับที่]])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ROW()-ROW(I3d15[[#Headers],[ลำดับที่]])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18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ROW()-ROW(I3d16[[#Headers],[ลำดับที่]])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ROW()-ROW(I3d16[[#Headers],[ลำดับที่]])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ROW()-ROW(I3d16[[#Headers],[ลำดับที่]])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ROW()-ROW(I3d16[[#Headers],[ลำดับที่]])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ROW()-ROW(I3d16[[#Headers],[ลำดับที่]])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ROW()-ROW(I3d16[[#Headers],[ลำดับที่]])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ROW()-ROW(I3d16[[#Headers],[ลำดับที่]])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ROW()-ROW(I3d16[[#Headers],[ลำดับที่]])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ROW()-ROW(I3d16[[#Headers],[ลำดับที่]])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ROW()-ROW(I3d16[[#Headers],[ลำดับที่]])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ROW()-ROW(I3d16[[#Headers],[ลำดับที่]])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ROW()-ROW(I3d16[[#Headers],[ลำดับที่]])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ROW()-ROW(I3d16[[#Headers],[ลำดับที่]])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ROW()-ROW(I3d16[[#Headers],[ลำดับที่]])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ROW()-ROW(I3d16[[#Headers],[ลำดับที่]])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ROW()-ROW(I3d16[[#Headers],[ลำดับที่]])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ROW()-ROW(I3d16[[#Headers],[ลำดับที่]])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ROW()-ROW(I3d16[[#Headers],[ลำดับที่]])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ROW()-ROW(I3d16[[#Headers],[ลำดับที่]])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ROW()-ROW(I3d16[[#Headers],[ลำดับที่]])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ROW()-ROW(I3d16[[#Headers],[ลำดับที่]])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ROW()-ROW(I3d16[[#Headers],[ลำดับที่]])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ROW()-ROW(I3d16[[#Headers],[ลำดับที่]])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ROW()-ROW(I3d16[[#Headers],[ลำดับที่]])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ROW()-ROW(I3d16[[#Headers],[ลำดับที่]])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ROW()-ROW(I3d16[[#Headers],[ลำดับที่]])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ROW()-ROW(I3d16[[#Headers],[ลำดับที่]])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ROW()-ROW(I3d16[[#Headers],[ลำดับที่]])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ROW()-ROW(I3d16[[#Headers],[ลำดับที่]])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ROW()-ROW(I3d16[[#Headers],[ลำดับที่]])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ROW()-ROW(I3d16[[#Headers],[ลำดับที่]])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ROW()-ROW(I3d16[[#Headers],[ลำดับที่]])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ROW()-ROW(I3d16[[#Headers],[ลำดับที่]])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ROW()-ROW(I3d16[[#Headers],[ลำดับที่]])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ROW()-ROW(I3d16[[#Headers],[ลำดับที่]])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ROW()-ROW(I3d16[[#Headers],[ลำดับที่]])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ROW()-ROW(I3d16[[#Headers],[ลำดับที่]])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ROW()-ROW(I3d16[[#Headers],[ลำดับที่]])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ROW()-ROW(I3d16[[#Headers],[ลำดับที่]])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ROW()-ROW(I3d16[[#Headers],[ลำดับที่]])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ROW()-ROW(I3d16[[#Headers],[ลำดับที่]])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ROW()-ROW(I3d16[[#Headers],[ลำดับที่]])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ROW()-ROW(I3d16[[#Headers],[ลำดับที่]])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ROW()-ROW(I3d16[[#Headers],[ลำดับที่]])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ROW()-ROW(I3d16[[#Headers],[ลำดับที่]])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ROW()-ROW(I3d16[[#Headers],[ลำดับที่]])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ROW()-ROW(I3d16[[#Headers],[ลำดับที่]])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ROW()-ROW(I3d16[[#Headers],[ลำดับที่]])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ROW()-ROW(I3d16[[#Headers],[ลำดับที่]])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ROW()-ROW(I3d16[[#Headers],[ลำดับที่]])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19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ROW()-ROW(I3d17[[#Headers],[ลำดับที่]])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ROW()-ROW(I3d17[[#Headers],[ลำดับที่]])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ROW()-ROW(I3d17[[#Headers],[ลำดับที่]])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ROW()-ROW(I3d17[[#Headers],[ลำดับที่]])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ROW()-ROW(I3d17[[#Headers],[ลำดับที่]])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ROW()-ROW(I3d17[[#Headers],[ลำดับที่]])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ROW()-ROW(I3d17[[#Headers],[ลำดับที่]])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ROW()-ROW(I3d17[[#Headers],[ลำดับที่]])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ROW()-ROW(I3d17[[#Headers],[ลำดับที่]])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ROW()-ROW(I3d17[[#Headers],[ลำดับที่]])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ROW()-ROW(I3d17[[#Headers],[ลำดับที่]])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ROW()-ROW(I3d17[[#Headers],[ลำดับที่]])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ROW()-ROW(I3d17[[#Headers],[ลำดับที่]])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ROW()-ROW(I3d17[[#Headers],[ลำดับที่]])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ROW()-ROW(I3d17[[#Headers],[ลำดับที่]])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ROW()-ROW(I3d17[[#Headers],[ลำดับที่]])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ROW()-ROW(I3d17[[#Headers],[ลำดับที่]])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ROW()-ROW(I3d17[[#Headers],[ลำดับที่]])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ROW()-ROW(I3d17[[#Headers],[ลำดับที่]])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ROW()-ROW(I3d17[[#Headers],[ลำดับที่]])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ROW()-ROW(I3d17[[#Headers],[ลำดับที่]])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ROW()-ROW(I3d17[[#Headers],[ลำดับที่]])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ROW()-ROW(I3d17[[#Headers],[ลำดับที่]])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ROW()-ROW(I3d17[[#Headers],[ลำดับที่]])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ROW()-ROW(I3d17[[#Headers],[ลำดับที่]])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ROW()-ROW(I3d17[[#Headers],[ลำดับที่]])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ROW()-ROW(I3d17[[#Headers],[ลำดับที่]])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ROW()-ROW(I3d17[[#Headers],[ลำดับที่]])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ROW()-ROW(I3d17[[#Headers],[ลำดับที่]])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ROW()-ROW(I3d17[[#Headers],[ลำดับที่]])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ROW()-ROW(I3d17[[#Headers],[ลำดับที่]])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ROW()-ROW(I3d17[[#Headers],[ลำดับที่]])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ROW()-ROW(I3d17[[#Headers],[ลำดับที่]])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ROW()-ROW(I3d17[[#Headers],[ลำดับที่]])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ROW()-ROW(I3d17[[#Headers],[ลำดับที่]])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ROW()-ROW(I3d17[[#Headers],[ลำดับที่]])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ROW()-ROW(I3d17[[#Headers],[ลำดับที่]])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ROW()-ROW(I3d17[[#Headers],[ลำดับที่]])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ROW()-ROW(I3d17[[#Headers],[ลำดับที่]])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ROW()-ROW(I3d17[[#Headers],[ลำดับที่]])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ROW()-ROW(I3d17[[#Headers],[ลำดับที่]])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ROW()-ROW(I3d17[[#Headers],[ลำดับที่]])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ROW()-ROW(I3d17[[#Headers],[ลำดับที่]])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ROW()-ROW(I3d17[[#Headers],[ลำดับที่]])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ROW()-ROW(I3d17[[#Headers],[ลำดับที่]])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ROW()-ROW(I3d17[[#Headers],[ลำดับที่]])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ROW()-ROW(I3d17[[#Headers],[ลำดับที่]])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ROW()-ROW(I3d17[[#Headers],[ลำดับที่]])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ROW()-ROW(I3d17[[#Headers],[ลำดับที่]])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ROW()-ROW(I3d17[[#Headers],[ลำดับที่]])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20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ROW()-ROW(I3d18[[#Headers],[ลำดับที่]])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ROW()-ROW(I3d18[[#Headers],[ลำดับที่]])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ROW()-ROW(I3d18[[#Headers],[ลำดับที่]])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ROW()-ROW(I3d18[[#Headers],[ลำดับที่]])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ROW()-ROW(I3d18[[#Headers],[ลำดับที่]])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ROW()-ROW(I3d18[[#Headers],[ลำดับที่]])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ROW()-ROW(I3d18[[#Headers],[ลำดับที่]])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ROW()-ROW(I3d18[[#Headers],[ลำดับที่]])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ROW()-ROW(I3d18[[#Headers],[ลำดับที่]])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ROW()-ROW(I3d18[[#Headers],[ลำดับที่]])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ROW()-ROW(I3d18[[#Headers],[ลำดับที่]])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ROW()-ROW(I3d18[[#Headers],[ลำดับที่]])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ROW()-ROW(I3d18[[#Headers],[ลำดับที่]])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ROW()-ROW(I3d18[[#Headers],[ลำดับที่]])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ROW()-ROW(I3d18[[#Headers],[ลำดับที่]])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ROW()-ROW(I3d18[[#Headers],[ลำดับที่]])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ROW()-ROW(I3d18[[#Headers],[ลำดับที่]])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ROW()-ROW(I3d18[[#Headers],[ลำดับที่]])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ROW()-ROW(I3d18[[#Headers],[ลำดับที่]])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ROW()-ROW(I3d18[[#Headers],[ลำดับที่]])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ROW()-ROW(I3d18[[#Headers],[ลำดับที่]])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ROW()-ROW(I3d18[[#Headers],[ลำดับที่]])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ROW()-ROW(I3d18[[#Headers],[ลำดับที่]])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ROW()-ROW(I3d18[[#Headers],[ลำดับที่]])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ROW()-ROW(I3d18[[#Headers],[ลำดับที่]])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ROW()-ROW(I3d18[[#Headers],[ลำดับที่]])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ROW()-ROW(I3d18[[#Headers],[ลำดับที่]])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ROW()-ROW(I3d18[[#Headers],[ลำดับที่]])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ROW()-ROW(I3d18[[#Headers],[ลำดับที่]])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ROW()-ROW(I3d18[[#Headers],[ลำดับที่]])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ROW()-ROW(I3d18[[#Headers],[ลำดับที่]])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ROW()-ROW(I3d18[[#Headers],[ลำดับที่]])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ROW()-ROW(I3d18[[#Headers],[ลำดับที่]])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ROW()-ROW(I3d18[[#Headers],[ลำดับที่]])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ROW()-ROW(I3d18[[#Headers],[ลำดับที่]])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ROW()-ROW(I3d18[[#Headers],[ลำดับที่]])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ROW()-ROW(I3d18[[#Headers],[ลำดับที่]])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ROW()-ROW(I3d18[[#Headers],[ลำดับที่]])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ROW()-ROW(I3d18[[#Headers],[ลำดับที่]])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ROW()-ROW(I3d18[[#Headers],[ลำดับที่]])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ROW()-ROW(I3d18[[#Headers],[ลำดับที่]])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ROW()-ROW(I3d18[[#Headers],[ลำดับที่]])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ROW()-ROW(I3d18[[#Headers],[ลำดับที่]])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ROW()-ROW(I3d18[[#Headers],[ลำดับที่]])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ROW()-ROW(I3d18[[#Headers],[ลำดับที่]])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ROW()-ROW(I3d18[[#Headers],[ลำดับที่]])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ROW()-ROW(I3d18[[#Headers],[ลำดับที่]])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ROW()-ROW(I3d18[[#Headers],[ลำดับที่]])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ROW()-ROW(I3d18[[#Headers],[ลำดับที่]])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ROW()-ROW(I3d18[[#Headers],[ลำดับที่]])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21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ROW()-ROW(I3d19[[#Headers],[ลำดับที่]])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ROW()-ROW(I3d19[[#Headers],[ลำดับที่]])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ROW()-ROW(I3d19[[#Headers],[ลำดับที่]])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ROW()-ROW(I3d19[[#Headers],[ลำดับที่]])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ROW()-ROW(I3d19[[#Headers],[ลำดับที่]])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ROW()-ROW(I3d19[[#Headers],[ลำดับที่]])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ROW()-ROW(I3d19[[#Headers],[ลำดับที่]])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ROW()-ROW(I3d19[[#Headers],[ลำดับที่]])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ROW()-ROW(I3d19[[#Headers],[ลำดับที่]])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ROW()-ROW(I3d19[[#Headers],[ลำดับที่]])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ROW()-ROW(I3d19[[#Headers],[ลำดับที่]])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ROW()-ROW(I3d19[[#Headers],[ลำดับที่]])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ROW()-ROW(I3d19[[#Headers],[ลำดับที่]])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ROW()-ROW(I3d19[[#Headers],[ลำดับที่]])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ROW()-ROW(I3d19[[#Headers],[ลำดับที่]])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ROW()-ROW(I3d19[[#Headers],[ลำดับที่]])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ROW()-ROW(I3d19[[#Headers],[ลำดับที่]])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ROW()-ROW(I3d19[[#Headers],[ลำดับที่]])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ROW()-ROW(I3d19[[#Headers],[ลำดับที่]])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ROW()-ROW(I3d19[[#Headers],[ลำดับที่]])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ROW()-ROW(I3d19[[#Headers],[ลำดับที่]])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ROW()-ROW(I3d19[[#Headers],[ลำดับที่]])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ROW()-ROW(I3d19[[#Headers],[ลำดับที่]])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ROW()-ROW(I3d19[[#Headers],[ลำดับที่]])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ROW()-ROW(I3d19[[#Headers],[ลำดับที่]])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ROW()-ROW(I3d19[[#Headers],[ลำดับที่]])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ROW()-ROW(I3d19[[#Headers],[ลำดับที่]])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ROW()-ROW(I3d19[[#Headers],[ลำดับที่]])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ROW()-ROW(I3d19[[#Headers],[ลำดับที่]])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ROW()-ROW(I3d19[[#Headers],[ลำดับที่]])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ROW()-ROW(I3d19[[#Headers],[ลำดับที่]])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ROW()-ROW(I3d19[[#Headers],[ลำดับที่]])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ROW()-ROW(I3d19[[#Headers],[ลำดับที่]])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ROW()-ROW(I3d19[[#Headers],[ลำดับที่]])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ROW()-ROW(I3d19[[#Headers],[ลำดับที่]])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ROW()-ROW(I3d19[[#Headers],[ลำดับที่]])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ROW()-ROW(I3d19[[#Headers],[ลำดับที่]])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ROW()-ROW(I3d19[[#Headers],[ลำดับที่]])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ROW()-ROW(I3d19[[#Headers],[ลำดับที่]])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ROW()-ROW(I3d19[[#Headers],[ลำดับที่]])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ROW()-ROW(I3d19[[#Headers],[ลำดับที่]])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ROW()-ROW(I3d19[[#Headers],[ลำดับที่]])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ROW()-ROW(I3d19[[#Headers],[ลำดับที่]])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ROW()-ROW(I3d19[[#Headers],[ลำดับที่]])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ROW()-ROW(I3d19[[#Headers],[ลำดับที่]])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ROW()-ROW(I3d19[[#Headers],[ลำดับที่]])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ROW()-ROW(I3d19[[#Headers],[ลำดับที่]])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ROW()-ROW(I3d19[[#Headers],[ลำดับที่]])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ROW()-ROW(I3d19[[#Headers],[ลำดับที่]])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ROW()-ROW(I3d19[[#Headers],[ลำดับที่]])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22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ROW()-ROW(I3d20[[#Headers],[ลำดับที่]])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ROW()-ROW(I3d20[[#Headers],[ลำดับที่]])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ROW()-ROW(I3d20[[#Headers],[ลำดับที่]])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ROW()-ROW(I3d20[[#Headers],[ลำดับที่]])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ROW()-ROW(I3d20[[#Headers],[ลำดับที่]])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ROW()-ROW(I3d20[[#Headers],[ลำดับที่]])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ROW()-ROW(I3d20[[#Headers],[ลำดับที่]])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ROW()-ROW(I3d20[[#Headers],[ลำดับที่]])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ROW()-ROW(I3d20[[#Headers],[ลำดับที่]])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ROW()-ROW(I3d20[[#Headers],[ลำดับที่]])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ROW()-ROW(I3d20[[#Headers],[ลำดับที่]])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ROW()-ROW(I3d20[[#Headers],[ลำดับที่]])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ROW()-ROW(I3d20[[#Headers],[ลำดับที่]])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ROW()-ROW(I3d20[[#Headers],[ลำดับที่]])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ROW()-ROW(I3d20[[#Headers],[ลำดับที่]])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ROW()-ROW(I3d20[[#Headers],[ลำดับที่]])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ROW()-ROW(I3d20[[#Headers],[ลำดับที่]])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ROW()-ROW(I3d20[[#Headers],[ลำดับที่]])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ROW()-ROW(I3d20[[#Headers],[ลำดับที่]])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ROW()-ROW(I3d20[[#Headers],[ลำดับที่]])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ROW()-ROW(I3d20[[#Headers],[ลำดับที่]])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ROW()-ROW(I3d20[[#Headers],[ลำดับที่]])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ROW()-ROW(I3d20[[#Headers],[ลำดับที่]])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ROW()-ROW(I3d20[[#Headers],[ลำดับที่]])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ROW()-ROW(I3d20[[#Headers],[ลำดับที่]])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ROW()-ROW(I3d20[[#Headers],[ลำดับที่]])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ROW()-ROW(I3d20[[#Headers],[ลำดับที่]])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ROW()-ROW(I3d20[[#Headers],[ลำดับที่]])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ROW()-ROW(I3d20[[#Headers],[ลำดับที่]])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ROW()-ROW(I3d20[[#Headers],[ลำดับที่]])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ROW()-ROW(I3d20[[#Headers],[ลำดับที่]])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ROW()-ROW(I3d20[[#Headers],[ลำดับที่]])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ROW()-ROW(I3d20[[#Headers],[ลำดับที่]])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ROW()-ROW(I3d20[[#Headers],[ลำดับที่]])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ROW()-ROW(I3d20[[#Headers],[ลำดับที่]])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ROW()-ROW(I3d20[[#Headers],[ลำดับที่]])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ROW()-ROW(I3d20[[#Headers],[ลำดับที่]])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ROW()-ROW(I3d20[[#Headers],[ลำดับที่]])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ROW()-ROW(I3d20[[#Headers],[ลำดับที่]])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ROW()-ROW(I3d20[[#Headers],[ลำดับที่]])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ROW()-ROW(I3d20[[#Headers],[ลำดับที่]])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ROW()-ROW(I3d20[[#Headers],[ลำดับที่]])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ROW()-ROW(I3d20[[#Headers],[ลำดับที่]])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ROW()-ROW(I3d20[[#Headers],[ลำดับที่]])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ROW()-ROW(I3d20[[#Headers],[ลำดับที่]])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ROW()-ROW(I3d20[[#Headers],[ลำดับที่]])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ROW()-ROW(I3d20[[#Headers],[ลำดับที่]])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ROW()-ROW(I3d20[[#Headers],[ลำดับที่]])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ROW()-ROW(I3d20[[#Headers],[ลำดับที่]])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ROW()-ROW(I3d20[[#Headers],[ลำดับที่]])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23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ROW()-ROW(I3d21[[#Headers],[ลำดับที่]])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ROW()-ROW(I3d21[[#Headers],[ลำดับที่]])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ROW()-ROW(I3d21[[#Headers],[ลำดับที่]])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ROW()-ROW(I3d21[[#Headers],[ลำดับที่]])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ROW()-ROW(I3d21[[#Headers],[ลำดับที่]])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ROW()-ROW(I3d21[[#Headers],[ลำดับที่]])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ROW()-ROW(I3d21[[#Headers],[ลำดับที่]])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ROW()-ROW(I3d21[[#Headers],[ลำดับที่]])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ROW()-ROW(I3d21[[#Headers],[ลำดับที่]])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ROW()-ROW(I3d21[[#Headers],[ลำดับที่]])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ROW()-ROW(I3d21[[#Headers],[ลำดับที่]])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ROW()-ROW(I3d21[[#Headers],[ลำดับที่]])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ROW()-ROW(I3d21[[#Headers],[ลำดับที่]])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ROW()-ROW(I3d21[[#Headers],[ลำดับที่]])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ROW()-ROW(I3d21[[#Headers],[ลำดับที่]])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ROW()-ROW(I3d21[[#Headers],[ลำดับที่]])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ROW()-ROW(I3d21[[#Headers],[ลำดับที่]])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ROW()-ROW(I3d21[[#Headers],[ลำดับที่]])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ROW()-ROW(I3d21[[#Headers],[ลำดับที่]])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ROW()-ROW(I3d21[[#Headers],[ลำดับที่]])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ROW()-ROW(I3d21[[#Headers],[ลำดับที่]])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ROW()-ROW(I3d21[[#Headers],[ลำดับที่]])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ROW()-ROW(I3d21[[#Headers],[ลำดับที่]])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ROW()-ROW(I3d21[[#Headers],[ลำดับที่]])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ROW()-ROW(I3d21[[#Headers],[ลำดับที่]])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ROW()-ROW(I3d21[[#Headers],[ลำดับที่]])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ROW()-ROW(I3d21[[#Headers],[ลำดับที่]])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ROW()-ROW(I3d21[[#Headers],[ลำดับที่]])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ROW()-ROW(I3d21[[#Headers],[ลำดับที่]])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ROW()-ROW(I3d21[[#Headers],[ลำดับที่]])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ROW()-ROW(I3d21[[#Headers],[ลำดับที่]])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ROW()-ROW(I3d21[[#Headers],[ลำดับที่]])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ROW()-ROW(I3d21[[#Headers],[ลำดับที่]])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ROW()-ROW(I3d21[[#Headers],[ลำดับที่]])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ROW()-ROW(I3d21[[#Headers],[ลำดับที่]])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ROW()-ROW(I3d21[[#Headers],[ลำดับที่]])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ROW()-ROW(I3d21[[#Headers],[ลำดับที่]])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ROW()-ROW(I3d21[[#Headers],[ลำดับที่]])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ROW()-ROW(I3d21[[#Headers],[ลำดับที่]])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ROW()-ROW(I3d21[[#Headers],[ลำดับที่]])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ROW()-ROW(I3d21[[#Headers],[ลำดับที่]])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ROW()-ROW(I3d21[[#Headers],[ลำดับที่]])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ROW()-ROW(I3d21[[#Headers],[ลำดับที่]])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ROW()-ROW(I3d21[[#Headers],[ลำดับที่]])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ROW()-ROW(I3d21[[#Headers],[ลำดับที่]])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ROW()-ROW(I3d21[[#Headers],[ลำดับที่]])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ROW()-ROW(I3d21[[#Headers],[ลำดับที่]])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ROW()-ROW(I3d21[[#Headers],[ลำดับที่]])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ROW()-ROW(I3d21[[#Headers],[ลำดับที่]])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ROW()-ROW(I3d21[[#Headers],[ลำดับที่]])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24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ROW()-ROW(I3d22[[#Headers],[ลำดับที่]])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ROW()-ROW(I3d22[[#Headers],[ลำดับที่]])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ROW()-ROW(I3d22[[#Headers],[ลำดับที่]])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ROW()-ROW(I3d22[[#Headers],[ลำดับที่]])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ROW()-ROW(I3d22[[#Headers],[ลำดับที่]])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ROW()-ROW(I3d22[[#Headers],[ลำดับที่]])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ROW()-ROW(I3d22[[#Headers],[ลำดับที่]])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ROW()-ROW(I3d22[[#Headers],[ลำดับที่]])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ROW()-ROW(I3d22[[#Headers],[ลำดับที่]])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ROW()-ROW(I3d22[[#Headers],[ลำดับที่]])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ROW()-ROW(I3d22[[#Headers],[ลำดับที่]])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ROW()-ROW(I3d22[[#Headers],[ลำดับที่]])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ROW()-ROW(I3d22[[#Headers],[ลำดับที่]])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ROW()-ROW(I3d22[[#Headers],[ลำดับที่]])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ROW()-ROW(I3d22[[#Headers],[ลำดับที่]])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ROW()-ROW(I3d22[[#Headers],[ลำดับที่]])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ROW()-ROW(I3d22[[#Headers],[ลำดับที่]])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ROW()-ROW(I3d22[[#Headers],[ลำดับที่]])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ROW()-ROW(I3d22[[#Headers],[ลำดับที่]])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ROW()-ROW(I3d22[[#Headers],[ลำดับที่]])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ROW()-ROW(I3d22[[#Headers],[ลำดับที่]])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ROW()-ROW(I3d22[[#Headers],[ลำดับที่]])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ROW()-ROW(I3d22[[#Headers],[ลำดับที่]])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ROW()-ROW(I3d22[[#Headers],[ลำดับที่]])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ROW()-ROW(I3d22[[#Headers],[ลำดับที่]])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ROW()-ROW(I3d22[[#Headers],[ลำดับที่]])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ROW()-ROW(I3d22[[#Headers],[ลำดับที่]])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ROW()-ROW(I3d22[[#Headers],[ลำดับที่]])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ROW()-ROW(I3d22[[#Headers],[ลำดับที่]])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ROW()-ROW(I3d22[[#Headers],[ลำดับที่]])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ROW()-ROW(I3d22[[#Headers],[ลำดับที่]])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ROW()-ROW(I3d22[[#Headers],[ลำดับที่]])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ROW()-ROW(I3d22[[#Headers],[ลำดับที่]])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ROW()-ROW(I3d22[[#Headers],[ลำดับที่]])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ROW()-ROW(I3d22[[#Headers],[ลำดับที่]])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ROW()-ROW(I3d22[[#Headers],[ลำดับที่]])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ROW()-ROW(I3d22[[#Headers],[ลำดับที่]])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ROW()-ROW(I3d22[[#Headers],[ลำดับที่]])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ROW()-ROW(I3d22[[#Headers],[ลำดับที่]])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ROW()-ROW(I3d22[[#Headers],[ลำดับที่]])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ROW()-ROW(I3d22[[#Headers],[ลำดับที่]])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ROW()-ROW(I3d22[[#Headers],[ลำดับที่]])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ROW()-ROW(I3d22[[#Headers],[ลำดับที่]])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ROW()-ROW(I3d22[[#Headers],[ลำดับที่]])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ROW()-ROW(I3d22[[#Headers],[ลำดับที่]])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ROW()-ROW(I3d22[[#Headers],[ลำดับที่]])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ROW()-ROW(I3d22[[#Headers],[ลำดับที่]])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ROW()-ROW(I3d22[[#Headers],[ลำดับที่]])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ROW()-ROW(I3d22[[#Headers],[ลำดับที่]])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ROW()-ROW(I3d22[[#Headers],[ลำดับที่]])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25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ROW()-ROW(I3d23[[#Headers],[ลำดับที่]])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ROW()-ROW(I3d23[[#Headers],[ลำดับที่]])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ROW()-ROW(I3d23[[#Headers],[ลำดับที่]])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ROW()-ROW(I3d23[[#Headers],[ลำดับที่]])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ROW()-ROW(I3d23[[#Headers],[ลำดับที่]])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ROW()-ROW(I3d23[[#Headers],[ลำดับที่]])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ROW()-ROW(I3d23[[#Headers],[ลำดับที่]])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ROW()-ROW(I3d23[[#Headers],[ลำดับที่]])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ROW()-ROW(I3d23[[#Headers],[ลำดับที่]])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ROW()-ROW(I3d23[[#Headers],[ลำดับที่]])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ROW()-ROW(I3d23[[#Headers],[ลำดับที่]])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ROW()-ROW(I3d23[[#Headers],[ลำดับที่]])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ROW()-ROW(I3d23[[#Headers],[ลำดับที่]])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ROW()-ROW(I3d23[[#Headers],[ลำดับที่]])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ROW()-ROW(I3d23[[#Headers],[ลำดับที่]])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ROW()-ROW(I3d23[[#Headers],[ลำดับที่]])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ROW()-ROW(I3d23[[#Headers],[ลำดับที่]])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ROW()-ROW(I3d23[[#Headers],[ลำดับที่]])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ROW()-ROW(I3d23[[#Headers],[ลำดับที่]])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ROW()-ROW(I3d23[[#Headers],[ลำดับที่]])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ROW()-ROW(I3d23[[#Headers],[ลำดับที่]])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ROW()-ROW(I3d23[[#Headers],[ลำดับที่]])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ROW()-ROW(I3d23[[#Headers],[ลำดับที่]])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ROW()-ROW(I3d23[[#Headers],[ลำดับที่]])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ROW()-ROW(I3d23[[#Headers],[ลำดับที่]])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ROW()-ROW(I3d23[[#Headers],[ลำดับที่]])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ROW()-ROW(I3d23[[#Headers],[ลำดับที่]])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ROW()-ROW(I3d23[[#Headers],[ลำดับที่]])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ROW()-ROW(I3d23[[#Headers],[ลำดับที่]])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ROW()-ROW(I3d23[[#Headers],[ลำดับที่]])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ROW()-ROW(I3d23[[#Headers],[ลำดับที่]])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ROW()-ROW(I3d23[[#Headers],[ลำดับที่]])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ROW()-ROW(I3d23[[#Headers],[ลำดับที่]])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ROW()-ROW(I3d23[[#Headers],[ลำดับที่]])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ROW()-ROW(I3d23[[#Headers],[ลำดับที่]])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ROW()-ROW(I3d23[[#Headers],[ลำดับที่]])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ROW()-ROW(I3d23[[#Headers],[ลำดับที่]])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ROW()-ROW(I3d23[[#Headers],[ลำดับที่]])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ROW()-ROW(I3d23[[#Headers],[ลำดับที่]])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ROW()-ROW(I3d23[[#Headers],[ลำดับที่]])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ROW()-ROW(I3d23[[#Headers],[ลำดับที่]])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ROW()-ROW(I3d23[[#Headers],[ลำดับที่]])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ROW()-ROW(I3d23[[#Headers],[ลำดับที่]])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ROW()-ROW(I3d23[[#Headers],[ลำดับที่]])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ROW()-ROW(I3d23[[#Headers],[ลำดับที่]])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ROW()-ROW(I3d23[[#Headers],[ลำดับที่]])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ROW()-ROW(I3d23[[#Headers],[ลำดับที่]])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ROW()-ROW(I3d23[[#Headers],[ลำดับที่]])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ROW()-ROW(I3d23[[#Headers],[ลำดับที่]])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ROW()-ROW(I3d23[[#Headers],[ลำดับที่]])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26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ROW()-ROW(I3d24[[#Headers],[ลำดับที่]])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ROW()-ROW(I3d24[[#Headers],[ลำดับที่]])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ROW()-ROW(I3d24[[#Headers],[ลำดับที่]])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ROW()-ROW(I3d24[[#Headers],[ลำดับที่]])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ROW()-ROW(I3d24[[#Headers],[ลำดับที่]])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ROW()-ROW(I3d24[[#Headers],[ลำดับที่]])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ROW()-ROW(I3d24[[#Headers],[ลำดับที่]])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ROW()-ROW(I3d24[[#Headers],[ลำดับที่]])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ROW()-ROW(I3d24[[#Headers],[ลำดับที่]])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ROW()-ROW(I3d24[[#Headers],[ลำดับที่]])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ROW()-ROW(I3d24[[#Headers],[ลำดับที่]])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ROW()-ROW(I3d24[[#Headers],[ลำดับที่]])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ROW()-ROW(I3d24[[#Headers],[ลำดับที่]])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ROW()-ROW(I3d24[[#Headers],[ลำดับที่]])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ROW()-ROW(I3d24[[#Headers],[ลำดับที่]])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ROW()-ROW(I3d24[[#Headers],[ลำดับที่]])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ROW()-ROW(I3d24[[#Headers],[ลำดับที่]])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ROW()-ROW(I3d24[[#Headers],[ลำดับที่]])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ROW()-ROW(I3d24[[#Headers],[ลำดับที่]])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ROW()-ROW(I3d24[[#Headers],[ลำดับที่]])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ROW()-ROW(I3d24[[#Headers],[ลำดับที่]])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ROW()-ROW(I3d24[[#Headers],[ลำดับที่]])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ROW()-ROW(I3d24[[#Headers],[ลำดับที่]])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ROW()-ROW(I3d24[[#Headers],[ลำดับที่]])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ROW()-ROW(I3d24[[#Headers],[ลำดับที่]])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ROW()-ROW(I3d24[[#Headers],[ลำดับที่]])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ROW()-ROW(I3d24[[#Headers],[ลำดับที่]])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ROW()-ROW(I3d24[[#Headers],[ลำดับที่]])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ROW()-ROW(I3d24[[#Headers],[ลำดับที่]])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ROW()-ROW(I3d24[[#Headers],[ลำดับที่]])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ROW()-ROW(I3d24[[#Headers],[ลำดับที่]])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ROW()-ROW(I3d24[[#Headers],[ลำดับที่]])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ROW()-ROW(I3d24[[#Headers],[ลำดับที่]])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ROW()-ROW(I3d24[[#Headers],[ลำดับที่]])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ROW()-ROW(I3d24[[#Headers],[ลำดับที่]])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ROW()-ROW(I3d24[[#Headers],[ลำดับที่]])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ROW()-ROW(I3d24[[#Headers],[ลำดับที่]])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ROW()-ROW(I3d24[[#Headers],[ลำดับที่]])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ROW()-ROW(I3d24[[#Headers],[ลำดับที่]])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ROW()-ROW(I3d24[[#Headers],[ลำดับที่]])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ROW()-ROW(I3d24[[#Headers],[ลำดับที่]])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ROW()-ROW(I3d24[[#Headers],[ลำดับที่]])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ROW()-ROW(I3d24[[#Headers],[ลำดับที่]])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ROW()-ROW(I3d24[[#Headers],[ลำดับที่]])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ROW()-ROW(I3d24[[#Headers],[ลำดับที่]])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ROW()-ROW(I3d24[[#Headers],[ลำดับที่]])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ROW()-ROW(I3d24[[#Headers],[ลำดับที่]])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ROW()-ROW(I3d24[[#Headers],[ลำดับที่]])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ROW()-ROW(I3d24[[#Headers],[ลำดับที่]])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ROW()-ROW(I3d24[[#Headers],[ลำดับที่]])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27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ROW()-ROW(I3d25[[#Headers],[ลำดับที่]])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ROW()-ROW(I3d25[[#Headers],[ลำดับที่]])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ROW()-ROW(I3d25[[#Headers],[ลำดับที่]])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ROW()-ROW(I3d25[[#Headers],[ลำดับที่]])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ROW()-ROW(I3d25[[#Headers],[ลำดับที่]])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ROW()-ROW(I3d25[[#Headers],[ลำดับที่]])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ROW()-ROW(I3d25[[#Headers],[ลำดับที่]])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ROW()-ROW(I3d25[[#Headers],[ลำดับที่]])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ROW()-ROW(I3d25[[#Headers],[ลำดับที่]])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ROW()-ROW(I3d25[[#Headers],[ลำดับที่]])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ROW()-ROW(I3d25[[#Headers],[ลำดับที่]])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ROW()-ROW(I3d25[[#Headers],[ลำดับที่]])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ROW()-ROW(I3d25[[#Headers],[ลำดับที่]])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ROW()-ROW(I3d25[[#Headers],[ลำดับที่]])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ROW()-ROW(I3d25[[#Headers],[ลำดับที่]])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ROW()-ROW(I3d25[[#Headers],[ลำดับที่]])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ROW()-ROW(I3d25[[#Headers],[ลำดับที่]])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ROW()-ROW(I3d25[[#Headers],[ลำดับที่]])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ROW()-ROW(I3d25[[#Headers],[ลำดับที่]])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ROW()-ROW(I3d25[[#Headers],[ลำดับที่]])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ROW()-ROW(I3d25[[#Headers],[ลำดับที่]])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ROW()-ROW(I3d25[[#Headers],[ลำดับที่]])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ROW()-ROW(I3d25[[#Headers],[ลำดับที่]])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ROW()-ROW(I3d25[[#Headers],[ลำดับที่]])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ROW()-ROW(I3d25[[#Headers],[ลำดับที่]])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ROW()-ROW(I3d25[[#Headers],[ลำดับที่]])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ROW()-ROW(I3d25[[#Headers],[ลำดับที่]])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ROW()-ROW(I3d25[[#Headers],[ลำดับที่]])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ROW()-ROW(I3d25[[#Headers],[ลำดับที่]])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ROW()-ROW(I3d25[[#Headers],[ลำดับที่]])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ROW()-ROW(I3d25[[#Headers],[ลำดับที่]])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ROW()-ROW(I3d25[[#Headers],[ลำดับที่]])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ROW()-ROW(I3d25[[#Headers],[ลำดับที่]])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ROW()-ROW(I3d25[[#Headers],[ลำดับที่]])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ROW()-ROW(I3d25[[#Headers],[ลำดับที่]])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ROW()-ROW(I3d25[[#Headers],[ลำดับที่]])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ROW()-ROW(I3d25[[#Headers],[ลำดับที่]])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ROW()-ROW(I3d25[[#Headers],[ลำดับที่]])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ROW()-ROW(I3d25[[#Headers],[ลำดับที่]])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ROW()-ROW(I3d25[[#Headers],[ลำดับที่]])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ROW()-ROW(I3d25[[#Headers],[ลำดับที่]])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ROW()-ROW(I3d25[[#Headers],[ลำดับที่]])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ROW()-ROW(I3d25[[#Headers],[ลำดับที่]])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ROW()-ROW(I3d25[[#Headers],[ลำดับที่]])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ROW()-ROW(I3d25[[#Headers],[ลำดับที่]])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ROW()-ROW(I3d25[[#Headers],[ลำดับที่]])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ROW()-ROW(I3d25[[#Headers],[ลำดับที่]])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ROW()-ROW(I3d25[[#Headers],[ลำดับที่]])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ROW()-ROW(I3d25[[#Headers],[ลำดับที่]])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ROW()-ROW(I3d25[[#Headers],[ลำดับที่]])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5" t="s">
        <v>0</v>
      </c>
      <c r="B1" s="16"/>
      <c r="C1" s="16"/>
      <c r="D1" s="16"/>
      <c r="E1" s="16"/>
    </row>
    <row r="2" spans="1:5" ht="29" customHeight="1">
      <c r="A2" s="2" t="s">
        <v>1</v>
      </c>
      <c r="B2" s="3" t="s">
        <v>28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ROW()-ROW(I3d26[[#Headers],[ลำดับที่]])</f>
        <v>1</v>
      </c>
      <c r="B4" s="8"/>
      <c r="C4" s="1"/>
      <c r="D4" s="1"/>
      <c r="E4" s="9"/>
    </row>
    <row r="5" spans="1:5" ht="29" customHeight="1">
      <c r="A5" s="7">
        <f>ROW()-ROW(I3d26[[#Headers],[ลำดับที่]])</f>
        <v>2</v>
      </c>
      <c r="B5" s="8"/>
      <c r="C5" s="1"/>
      <c r="D5" s="1"/>
      <c r="E5" s="9"/>
    </row>
    <row r="6" spans="1:5" ht="29" customHeight="1">
      <c r="A6" s="7">
        <f>ROW()-ROW(I3d26[[#Headers],[ลำดับที่]])</f>
        <v>3</v>
      </c>
      <c r="B6" s="8"/>
      <c r="C6" s="1"/>
      <c r="D6" s="1"/>
      <c r="E6" s="9"/>
    </row>
    <row r="7" spans="1:5" ht="29" customHeight="1">
      <c r="A7" s="7">
        <f>ROW()-ROW(I3d26[[#Headers],[ลำดับที่]])</f>
        <v>4</v>
      </c>
      <c r="B7" s="8"/>
      <c r="C7" s="1"/>
      <c r="D7" s="1"/>
      <c r="E7" s="9"/>
    </row>
    <row r="8" spans="1:5" ht="29" customHeight="1">
      <c r="A8" s="7">
        <f>ROW()-ROW(I3d26[[#Headers],[ลำดับที่]])</f>
        <v>5</v>
      </c>
      <c r="B8" s="8"/>
      <c r="C8" s="1"/>
      <c r="D8" s="1"/>
      <c r="E8" s="9"/>
    </row>
    <row r="9" spans="1:5" ht="29" customHeight="1">
      <c r="A9" s="7">
        <f>ROW()-ROW(I3d26[[#Headers],[ลำดับที่]])</f>
        <v>6</v>
      </c>
      <c r="B9" s="8"/>
      <c r="C9" s="1"/>
      <c r="D9" s="1"/>
      <c r="E9" s="9"/>
    </row>
    <row r="10" spans="1:5" ht="29" customHeight="1">
      <c r="A10" s="7">
        <f>ROW()-ROW(I3d26[[#Headers],[ลำดับที่]])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ROW()-ROW(I3d26[[#Headers],[ลำดับที่]])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ROW()-ROW(I3d26[[#Headers],[ลำดับที่]])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ROW()-ROW(I3d26[[#Headers],[ลำดับที่]])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ROW()-ROW(I3d26[[#Headers],[ลำดับที่]])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ROW()-ROW(I3d26[[#Headers],[ลำดับที่]])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ROW()-ROW(I3d26[[#Headers],[ลำดับที่]])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ROW()-ROW(I3d26[[#Headers],[ลำดับที่]])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ROW()-ROW(I3d26[[#Headers],[ลำดับที่]])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ROW()-ROW(I3d26[[#Headers],[ลำดับที่]])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ROW()-ROW(I3d26[[#Headers],[ลำดับที่]])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ROW()-ROW(I3d26[[#Headers],[ลำดับที่]])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ROW()-ROW(I3d26[[#Headers],[ลำดับที่]])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ROW()-ROW(I3d26[[#Headers],[ลำดับที่]])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ROW()-ROW(I3d26[[#Headers],[ลำดับที่]])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ROW()-ROW(I3d26[[#Headers],[ลำดับที่]])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ROW()-ROW(I3d26[[#Headers],[ลำดับที่]])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ROW()-ROW(I3d26[[#Headers],[ลำดับที่]])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ROW()-ROW(I3d26[[#Headers],[ลำดับที่]])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ROW()-ROW(I3d26[[#Headers],[ลำดับที่]])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ROW()-ROW(I3d26[[#Headers],[ลำดับที่]])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ROW()-ROW(I3d26[[#Headers],[ลำดับที่]])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ROW()-ROW(I3d26[[#Headers],[ลำดับที่]])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ROW()-ROW(I3d26[[#Headers],[ลำดับที่]])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ROW()-ROW(I3d26[[#Headers],[ลำดับที่]])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ROW()-ROW(I3d26[[#Headers],[ลำดับที่]])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ROW()-ROW(I3d26[[#Headers],[ลำดับที่]])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ROW()-ROW(I3d26[[#Headers],[ลำดับที่]])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ROW()-ROW(I3d26[[#Headers],[ลำดับที่]])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ROW()-ROW(I3d26[[#Headers],[ลำดับที่]])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ROW()-ROW(I3d26[[#Headers],[ลำดับที่]])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ROW()-ROW(I3d26[[#Headers],[ลำดับที่]])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ROW()-ROW(I3d26[[#Headers],[ลำดับที่]])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ROW()-ROW(I3d26[[#Headers],[ลำดับที่]])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ROW()-ROW(I3d26[[#Headers],[ลำดับที่]])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ROW()-ROW(I3d26[[#Headers],[ลำดับที่]])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ROW()-ROW(I3d26[[#Headers],[ลำดับที่]])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ROW()-ROW(I3d26[[#Headers],[ลำดับที่]])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ROW()-ROW(I3d26[[#Headers],[ลำดับที่]])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ROW()-ROW(I3d26[[#Headers],[ลำดับที่]])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ROW()-ROW(I3d26[[#Headers],[ลำดับที่]])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ROW()-ROW(I3d26[[#Headers],[ลำดับที่]])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ROW()-ROW(I3d26[[#Headers],[ลำดับที่]])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ROW()-ROW(I3d26[[#Headers],[ลำดับที่]])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2 มี.ค.</vt:lpstr>
      <vt:lpstr>3 มี.ค.</vt:lpstr>
      <vt:lpstr>5 มี.ค.(เช้า)</vt:lpstr>
      <vt:lpstr>5 มี.ค. (บ่าย)</vt:lpstr>
      <vt:lpstr>7 มี.ค. (เช้า)</vt:lpstr>
      <vt:lpstr>7 มี.ค. (บ่าย)</vt:lpstr>
      <vt:lpstr>9 มี.ค.</vt:lpstr>
      <vt:lpstr>10 มี.ค. (เช้า)</vt:lpstr>
      <vt:lpstr>10 มี.ค. (บ่าย)</vt:lpstr>
      <vt:lpstr>11 มี.ค.</vt:lpstr>
      <vt:lpstr>12 มี.ค.</vt:lpstr>
      <vt:lpstr>13 มี.ค.</vt:lpstr>
      <vt:lpstr>14 มี.ค.</vt:lpstr>
      <vt:lpstr>16 มี.ค.</vt:lpstr>
      <vt:lpstr>17 มี.ค.</vt:lpstr>
      <vt:lpstr>18 มี.ค.</vt:lpstr>
      <vt:lpstr>19 มี.ค.</vt:lpstr>
      <vt:lpstr>20 มี.ค.</vt:lpstr>
      <vt:lpstr>21 มี.ค.</vt:lpstr>
      <vt:lpstr>23 มี.ค.</vt:lpstr>
      <vt:lpstr>24 มี.ค.</vt:lpstr>
      <vt:lpstr>25 มี.ค.</vt:lpstr>
      <vt:lpstr>26 มี.ค.</vt:lpstr>
      <vt:lpstr>27 มี.ค.</vt:lpstr>
      <vt:lpstr>28 มี.ค.</vt:lpstr>
      <vt:lpstr>30 มี.ค.</vt:lpstr>
      <vt:lpstr>31 มี.ค.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Executive</cp:lastModifiedBy>
  <dcterms:created xsi:type="dcterms:W3CDTF">2026-02-21T09:40:30Z</dcterms:created>
  <dcterms:modified xsi:type="dcterms:W3CDTF">2026-03-10T09:45:03Z</dcterms:modified>
</cp:coreProperties>
</file>